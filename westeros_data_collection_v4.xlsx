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blaketaylor/Downloads/"/>
    </mc:Choice>
  </mc:AlternateContent>
  <xr:revisionPtr revIDLastSave="0" documentId="8_{6A661F67-A5B6-6B45-927F-9BFC1009C6EC}" xr6:coauthVersionLast="47" xr6:coauthVersionMax="47" xr10:uidLastSave="{00000000-0000-0000-0000-000000000000}"/>
  <bookViews>
    <workbookView xWindow="0" yWindow="660" windowWidth="30240" windowHeight="18980" xr2:uid="{00000000-000D-0000-FFFF-FFFF00000000}"/>
  </bookViews>
  <sheets>
    <sheet name="📋 Instructions" sheetId="1" r:id="rId1"/>
    <sheet name="🏰 Castle Data" sheetId="2" r:id="rId2"/>
    <sheet name="📊 Progress" sheetId="3" r:id="rId3"/>
    <sheet name="📋 House Instructions" sheetId="4" r:id="rId4"/>
    <sheet name="🏠 House Data" sheetId="5" r:id="rId5"/>
    <sheet name="📊 House Progress" sheetId="6" r:id="rId6"/>
    <sheet name="📋 Region Instructions" sheetId="7" r:id="rId7"/>
    <sheet name="🗺️ Region Data"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6" l="1"/>
  <c r="F13" i="6"/>
  <c r="E13" i="6"/>
  <c r="D13" i="6"/>
  <c r="F12" i="6"/>
  <c r="E12" i="6"/>
  <c r="D12" i="6"/>
  <c r="F11" i="6"/>
  <c r="E11" i="6"/>
  <c r="D11" i="6"/>
  <c r="F10" i="6"/>
  <c r="E10" i="6"/>
  <c r="D10" i="6"/>
  <c r="F9" i="6"/>
  <c r="E9" i="6"/>
  <c r="D9" i="6"/>
  <c r="F8" i="6"/>
  <c r="E8" i="6"/>
  <c r="D8" i="6"/>
  <c r="F7" i="6"/>
  <c r="E7" i="6"/>
  <c r="D7" i="6"/>
  <c r="F6" i="6"/>
  <c r="E6" i="6"/>
  <c r="D6" i="6"/>
  <c r="F5" i="6"/>
  <c r="F14" i="6" s="1"/>
  <c r="E5" i="6"/>
  <c r="E14" i="6" s="1"/>
  <c r="D5" i="6"/>
  <c r="D14" i="6" s="1"/>
  <c r="C14" i="3"/>
  <c r="F13" i="3"/>
  <c r="E13" i="3"/>
  <c r="D13" i="3"/>
  <c r="F12" i="3"/>
  <c r="E12" i="3"/>
  <c r="D12" i="3"/>
  <c r="F11" i="3"/>
  <c r="E11" i="3"/>
  <c r="D11" i="3"/>
  <c r="F10" i="3"/>
  <c r="E10" i="3"/>
  <c r="D10" i="3"/>
  <c r="F9" i="3"/>
  <c r="E9" i="3"/>
  <c r="D9" i="3"/>
  <c r="F8" i="3"/>
  <c r="E8" i="3"/>
  <c r="D8" i="3"/>
  <c r="F7" i="3"/>
  <c r="E7" i="3"/>
  <c r="D7" i="3"/>
  <c r="F6" i="3"/>
  <c r="E6" i="3"/>
  <c r="D6" i="3"/>
  <c r="F5" i="3"/>
  <c r="F14" i="3" s="1"/>
  <c r="E5" i="3"/>
  <c r="E14" i="3" s="1"/>
  <c r="D5" i="3"/>
  <c r="D14" i="3" s="1"/>
</calcChain>
</file>

<file path=xl/sharedStrings.xml><?xml version="1.0" encoding="utf-8"?>
<sst xmlns="http://schemas.openxmlformats.org/spreadsheetml/2006/main" count="6830" uniqueCount="2600">
  <si>
    <t>WESTEROS CASTLE DATA COLLECTION</t>
  </si>
  <si>
    <t>Data collection guide for the GoT Neptune's Pride game</t>
  </si>
  <si>
    <t>YOUR JOB</t>
  </si>
  <si>
    <t>Step 1</t>
  </si>
  <si>
    <t>Go to the 🏰 Castle Data sheet</t>
  </si>
  <si>
    <t>Step 2</t>
  </si>
  <si>
    <t>Find a castle row with Status = STUB (highlighted red)</t>
  </si>
  <si>
    <t>Step 3</t>
  </si>
  <si>
    <t>Visit the wiki URL in column W for that castle</t>
  </si>
  <si>
    <t>Step 4</t>
  </si>
  <si>
    <t>Fill in as many columns as you can from the wiki page</t>
  </si>
  <si>
    <t>Step 5</t>
  </si>
  <si>
    <t>Change Status in column A to PARTIAL or COMPLETE when done</t>
  </si>
  <si>
    <t>Step 6</t>
  </si>
  <si>
    <t>Move to the next STUB row and repeat</t>
  </si>
  <si>
    <t>COLUMN GUIDE</t>
  </si>
  <si>
    <t>slug</t>
  </si>
  <si>
    <t>Auto-filled. Don't edit.</t>
  </si>
  <si>
    <t>name</t>
  </si>
  <si>
    <t>region</t>
  </si>
  <si>
    <t>tier</t>
  </si>
  <si>
    <t>status</t>
  </si>
  <si>
    <t>Change to PARTIAL when you start, COMPLETE when done.</t>
  </si>
  <si>
    <t>connections</t>
  </si>
  <si>
    <t>Castles nearby on the wiki map. Comma-separated castle names. Look at the infobox map image on each wiki page and list what's adjacent.</t>
  </si>
  <si>
    <t>route_type</t>
  </si>
  <si>
    <t>land, sea, or both — based on whether the castle is coastal/island</t>
  </si>
  <si>
    <t>gold</t>
  </si>
  <si>
    <t>How wealthy/economically important is this castle? Rate 1-10. Use tier as guide: T1=7-10, T2=4-6, T3=1-3</t>
  </si>
  <si>
    <t>strength</t>
  </si>
  <si>
    <t>How militarily significant? Same 1-10 scale.</t>
  </si>
  <si>
    <t>influence</t>
  </si>
  <si>
    <t>How politically/intellectually important? T1=5-8, T2=2-4, T3=0-1</t>
  </si>
  <si>
    <t>natural_resources</t>
  </si>
  <si>
    <t>How easy to develop? Rich areas score higher. T1=7-10, T2=4-7, T3=1-4</t>
  </si>
  <si>
    <t>defense_bonus</t>
  </si>
  <si>
    <t>How naturally defensible? Mountains/islands score highest (4-5). Plains lowest (1).</t>
  </si>
  <si>
    <t>is_port</t>
  </si>
  <si>
    <t>YES if the castle is on the coast or a navigable river. Check the wiki map.</t>
  </si>
  <si>
    <t>is_chokepoint</t>
  </si>
  <si>
    <t>YES if controlling this castle would block movement through a region (The Twins, Moat Cailin, Golden Tooth).</t>
  </si>
  <si>
    <t>terrain</t>
  </si>
  <si>
    <t>plains / forest / mountains / coast / island / river / swamp / desert / tundra</t>
  </si>
  <si>
    <t>winter_mult</t>
  </si>
  <si>
    <t>How harsh are winters here? 1.0=normal, 1.5=harsh North, 2.0=extreme far North, 0.5=mild Dorne</t>
  </si>
  <si>
    <t>ruling_house</t>
  </si>
  <si>
    <t>From the infobox: e.g. House Smallwood</t>
  </si>
  <si>
    <t>current_ruler</t>
  </si>
  <si>
    <t>From the infobox: e.g. Lord Theomar Smallwood</t>
  </si>
  <si>
    <t>religion</t>
  </si>
  <si>
    <t>From the infobox or lore: faith_of_the_seven / old_gods / drowned_god / rhlor / unknown</t>
  </si>
  <si>
    <t>description</t>
  </si>
  <si>
    <t>1-2 sentences from the wiki intro paragraph describing the castle</t>
  </si>
  <si>
    <t>notable_events</t>
  </si>
  <si>
    <t>Any notable lore events. Comma-separated short summaries.</t>
  </si>
  <si>
    <t>wiki_url</t>
  </si>
  <si>
    <t>your_name</t>
  </si>
  <si>
    <t>Put your name/initials so we know who collected each entry.</t>
  </si>
  <si>
    <t>TIER GUIDE</t>
  </si>
  <si>
    <t>Tier 1</t>
  </si>
  <si>
    <t>Great Seats — Winterfell, Casterly Rock, Highgarden, Red Keep, Dragonstone, Storm's End, Eyrie, Riverrun, Harrenhal, Twins, Moat Cailin, Pyke, Sunspear, Hightower</t>
  </si>
  <si>
    <t>Tier 2</t>
  </si>
  <si>
    <t>Named house seats with regional importance. Lords and notable knights.</t>
  </si>
  <si>
    <t>Tier 3</t>
  </si>
  <si>
    <t>Minor holdfasts, towers, small keeps. Background territory.</t>
  </si>
  <si>
    <t>TIPS</t>
  </si>
  <si>
    <t>Wiki URL format</t>
  </si>
  <si>
    <t>https://awoiaf.westeros.org/index.php/Castle_Name  (spaces become underscores)</t>
  </si>
  <si>
    <t>Connections</t>
  </si>
  <si>
    <t>The small regional MAP on each wiki page is your best friend for adjacency. List 2-5 nearby castles per entry.</t>
  </si>
  <si>
    <t>When unsure</t>
  </si>
  <si>
    <t>Leave blank rather than guess. PARTIAL is fine. We can fill gaps later.</t>
  </si>
  <si>
    <t>Sea routes</t>
  </si>
  <si>
    <t>Iron Islands castles are all island/sea. Coastal castles (Dragonstone, Pyke, Sunspear, Hightower) can have both land and sea connections.</t>
  </si>
  <si>
    <t>META</t>
  </si>
  <si>
    <t>IDENTITY</t>
  </si>
  <si>
    <t>CONNECTIONS</t>
  </si>
  <si>
    <t>BASE STATS</t>
  </si>
  <si>
    <t>SPECIAL</t>
  </si>
  <si>
    <t>LORE</t>
  </si>
  <si>
    <t>collected_by</t>
  </si>
  <si>
    <t>route_types</t>
  </si>
  <si>
    <t>distance_ticks_notes</t>
  </si>
  <si>
    <t>is_kings_road</t>
  </si>
  <si>
    <t>has_maester</t>
  </si>
  <si>
    <t>unique_bonus</t>
  </si>
  <si>
    <t>PARTIAL</t>
  </si>
  <si>
    <t>Claude</t>
  </si>
  <si>
    <t>red_keep</t>
  </si>
  <si>
    <t>Red Keep</t>
  </si>
  <si>
    <t>Crownlands</t>
  </si>
  <si>
    <t>King's Landing, Rook's Rest, Rosby</t>
  </si>
  <si>
    <t>land, sea</t>
  </si>
  <si>
    <t>0</t>
  </si>
  <si>
    <t>YES</t>
  </si>
  <si>
    <t>NO</t>
  </si>
  <si>
    <t>coast</t>
  </si>
  <si>
    <t>Capital: Royal treasury access</t>
  </si>
  <si>
    <t>house_baratheon_kings_landing</t>
  </si>
  <si>
    <t>Robert Baratheon</t>
  </si>
  <si>
    <t>faith_of_the_seven</t>
  </si>
  <si>
    <t>The royal seat of the Seven Kingdoms, located in King's Landing on the Blackwater Rush. Ancient fortress and center of Iron Throne power.</t>
  </si>
  <si>
    <t>Targaryen construction, Mad King's reign, Robert's Rebellion, Dance of Dragons precedent</t>
  </si>
  <si>
    <t>https://awoiaf.westeros.org/index.php/Red_Keep</t>
  </si>
  <si>
    <t>dragonstone</t>
  </si>
  <si>
    <t>Dragonstone</t>
  </si>
  <si>
    <t>Claw Isle, Driftmark</t>
  </si>
  <si>
    <t>sea</t>
  </si>
  <si>
    <t>2</t>
  </si>
  <si>
    <t>island</t>
  </si>
  <si>
    <t>Volcanic fortress: +1 defense</t>
  </si>
  <si>
    <t>house_targaryen</t>
  </si>
  <si>
    <t>Daenerys Targaryen</t>
  </si>
  <si>
    <t>rhlor</t>
  </si>
  <si>
    <t>Fortress on volcanic island east of King's Landing. Stronghold of House Targaryen and seat of Stannis Baratheon. Gateway to the Narrow Sea.</t>
  </si>
  <si>
    <t>Targaryen ancestral seat, Stannis's rule, volcanic origin</t>
  </si>
  <si>
    <t>https://awoiaf.westeros.org/index.php/Dragonstone</t>
  </si>
  <si>
    <t>rosby</t>
  </si>
  <si>
    <t>Rosby</t>
  </si>
  <si>
    <t>Red Keep, Stokeworth, Rook's Rest</t>
  </si>
  <si>
    <t>land</t>
  </si>
  <si>
    <t>1-3</t>
  </si>
  <si>
    <t>plains</t>
  </si>
  <si>
    <t>house_rosby</t>
  </si>
  <si>
    <t>Unknown</t>
  </si>
  <si>
    <t>Crownlands castle near King's Landing.</t>
  </si>
  <si>
    <t>None major</t>
  </si>
  <si>
    <t>https://awoiaf.westeros.org/index.php/Rosby</t>
  </si>
  <si>
    <t>stokeworth</t>
  </si>
  <si>
    <t>Stokeworth</t>
  </si>
  <si>
    <t>Red Keep, Rosby, Rook's Rest</t>
  </si>
  <si>
    <t>house_stokeworth</t>
  </si>
  <si>
    <t>Minor Crownlands castle.</t>
  </si>
  <si>
    <t>https://awoiaf.westeros.org/index.php/Stokeworth</t>
  </si>
  <si>
    <t>rooks_rest</t>
  </si>
  <si>
    <t>Rook's Rest</t>
  </si>
  <si>
    <t>Red Keep, Rosby, Stokeworth</t>
  </si>
  <si>
    <t>unknown</t>
  </si>
  <si>
    <t>Crownlands castle south of King's Landing.</t>
  </si>
  <si>
    <t>Strategic position</t>
  </si>
  <si>
    <t>https://awoiaf.westeros.org/index.php/Rooks_Rest</t>
  </si>
  <si>
    <t>driftmark</t>
  </si>
  <si>
    <t>Castle Driftmark</t>
  </si>
  <si>
    <t>Dragonstone, Claw Isle, Red Keep (sea)</t>
  </si>
  <si>
    <t>house_velaryon</t>
  </si>
  <si>
    <t>Monterys Velaryon</t>
  </si>
  <si>
    <t>Island castle of House Velaryon.</t>
  </si>
  <si>
    <t>Naval stronghold</t>
  </si>
  <si>
    <t>https://awoiaf.westeros.org/index.php/Driftmark</t>
  </si>
  <si>
    <t>sharp_point</t>
  </si>
  <si>
    <t>Sharp Point</t>
  </si>
  <si>
    <t>Red Keep (sea), Driftmark (sea)</t>
  </si>
  <si>
    <t>house_bar_emmon</t>
  </si>
  <si>
    <t>Coastal Crownlands fortress.</t>
  </si>
  <si>
    <t>Harbor fortress</t>
  </si>
  <si>
    <t>https://awoiaf.westeros.org/index.php/Sharp_Point</t>
  </si>
  <si>
    <t>sweetport_sound</t>
  </si>
  <si>
    <t>Sweetport Sound</t>
  </si>
  <si>
    <t>Sharp Point (sea)</t>
  </si>
  <si>
    <t>house_sunglass</t>
  </si>
  <si>
    <t>Trade port</t>
  </si>
  <si>
    <t>https://awoiaf.westeros.org/index.php/Sweetport_Sound</t>
  </si>
  <si>
    <t>stonedance</t>
  </si>
  <si>
    <t>Stonedance</t>
  </si>
  <si>
    <t>Red Keep (sea)</t>
  </si>
  <si>
    <t>house_massey</t>
  </si>
  <si>
    <t>Coastal Crownlands castle.</t>
  </si>
  <si>
    <t>Coastal stronghold</t>
  </si>
  <si>
    <t>https://awoiaf.westeros.org/index.php/Stonedance</t>
  </si>
  <si>
    <t>antlers</t>
  </si>
  <si>
    <t>Antlers</t>
  </si>
  <si>
    <t>Red Keep, Rosby</t>
  </si>
  <si>
    <t>forest</t>
  </si>
  <si>
    <t>Forest stronghold near King's Landing.</t>
  </si>
  <si>
    <t>https://awoiaf.westeros.org/index.php/Antlers</t>
  </si>
  <si>
    <t>brownhollow</t>
  </si>
  <si>
    <t>Brownhollow</t>
  </si>
  <si>
    <t>Minor Crownlands stronghold.</t>
  </si>
  <si>
    <t>https://awoiaf.westeros.org/index.php/Brownhollow</t>
  </si>
  <si>
    <t>breakwater</t>
  </si>
  <si>
    <t>Breakwater</t>
  </si>
  <si>
    <t>Naval station</t>
  </si>
  <si>
    <t>https://awoiaf.westeros.org/index.php/Breakwater</t>
  </si>
  <si>
    <t>ravenry</t>
  </si>
  <si>
    <t>Ravenry</t>
  </si>
  <si>
    <t>Small Crownlands fortress.</t>
  </si>
  <si>
    <t>https://awoiaf.westeros.org/index.php/Ravenry</t>
  </si>
  <si>
    <t>high_tide</t>
  </si>
  <si>
    <t>High Tide</t>
  </si>
  <si>
    <t>Driftmark (sea)</t>
  </si>
  <si>
    <t>Tidal harbor</t>
  </si>
  <si>
    <t>https://awoiaf.westeros.org/index.php/High_Tide</t>
  </si>
  <si>
    <t>aegonfort</t>
  </si>
  <si>
    <t>Aegonfort</t>
  </si>
  <si>
    <t>Historical site</t>
  </si>
  <si>
    <t>https://awoiaf.westeros.org/index.php/Aegonfort</t>
  </si>
  <si>
    <t>ring</t>
  </si>
  <si>
    <t>Ring</t>
  </si>
  <si>
    <t>Small circular fortress.</t>
  </si>
  <si>
    <t>https://awoiaf.westeros.org/index.php/Ring</t>
  </si>
  <si>
    <t>winterfell</t>
  </si>
  <si>
    <t>Winterfell</t>
  </si>
  <si>
    <t>North</t>
  </si>
  <si>
    <t>Moat Cailin, Last Hearth, Castle Cerwyn, Deepwood Motte</t>
  </si>
  <si>
    <t>4</t>
  </si>
  <si>
    <t>Hot springs: winter immunity</t>
  </si>
  <si>
    <t>house_stark</t>
  </si>
  <si>
    <t>Ned Stark</t>
  </si>
  <si>
    <t>old_gods</t>
  </si>
  <si>
    <t>Ancestral castle and capital of the North, seat of House Stark. Built by Bran the Builder atop hot springs that warm it even in winter.</t>
  </si>
  <si>
    <t>Founded by Bran the Builder, Robert's Rebellion, War of Five Kings</t>
  </si>
  <si>
    <t>https://awoiaf.westeros.org/index.php/Winterfell</t>
  </si>
  <si>
    <t>moat_cailin</t>
  </si>
  <si>
    <t>Moat Cailin</t>
  </si>
  <si>
    <t>Winterfell, The Twins, Last Hearth</t>
  </si>
  <si>
    <t>3</t>
  </si>
  <si>
    <t>swamp</t>
  </si>
  <si>
    <t>Swamp fortress: march speed halved</t>
  </si>
  <si>
    <t>Strategic fortress in the Neck controlling entry from south to the North. Three towers and flooded defenses make it nearly impregnable from south.</t>
  </si>
  <si>
    <t>Repelled Andal invasion, War of Five Kings</t>
  </si>
  <si>
    <t>https://awoiaf.westeros.org/index.php/Moat_Cailin</t>
  </si>
  <si>
    <t>dreadfort</t>
  </si>
  <si>
    <t>Dreadfort</t>
  </si>
  <si>
    <t>Winterfell, Karhold, Last Hearth</t>
  </si>
  <si>
    <t>house_bolton</t>
  </si>
  <si>
    <t>Roose Bolton</t>
  </si>
  <si>
    <t>Grim Northern fortress.</t>
  </si>
  <si>
    <t>Flaying tradition</t>
  </si>
  <si>
    <t>https://awoiaf.westeros.org/index.php/Dreadfort</t>
  </si>
  <si>
    <t>karhold</t>
  </si>
  <si>
    <t>Karhold</t>
  </si>
  <si>
    <t>Dreadfort, Last Hearth, Castle Cerwyn</t>
  </si>
  <si>
    <t>mountains</t>
  </si>
  <si>
    <t>house_karstark</t>
  </si>
  <si>
    <t>Rickard Karstark</t>
  </si>
  <si>
    <t>Mountain Northern fortress.</t>
  </si>
  <si>
    <t>Mountain stronghold</t>
  </si>
  <si>
    <t>https://awoiaf.westeros.org/index.php/Karhold</t>
  </si>
  <si>
    <t>castle_cerwyn</t>
  </si>
  <si>
    <t>Castle Cerwyn</t>
  </si>
  <si>
    <t>Winterfell, Karhold, Torrhen's Square</t>
  </si>
  <si>
    <t>house_cerwyn</t>
  </si>
  <si>
    <t>Cley Cerwyn</t>
  </si>
  <si>
    <t>Northern forest fortress.</t>
  </si>
  <si>
    <t>Southern gateway</t>
  </si>
  <si>
    <t>https://awoiaf.westeros.org/index.php/Castle_Cerwyn</t>
  </si>
  <si>
    <t>hornwood</t>
  </si>
  <si>
    <t>Hornwood</t>
  </si>
  <si>
    <t>Winterfell, Dreadfort, Deepwood Motte</t>
  </si>
  <si>
    <t>house_hornwood</t>
  </si>
  <si>
    <t>Daryn Hornwood</t>
  </si>
  <si>
    <t>Forest Northern fortress.</t>
  </si>
  <si>
    <t>Disputed succession</t>
  </si>
  <si>
    <t>https://awoiaf.westeros.org/index.php/Hornwood</t>
  </si>
  <si>
    <t>barrow_hall</t>
  </si>
  <si>
    <t>Barrow Hall</t>
  </si>
  <si>
    <t>Winterfell, Castle Cerwyn</t>
  </si>
  <si>
    <t>house_dustin</t>
  </si>
  <si>
    <t>Barbrey Dustin</t>
  </si>
  <si>
    <t>Northern plains fortress.</t>
  </si>
  <si>
    <t>Horse breeding</t>
  </si>
  <si>
    <t>https://awoiaf.westeros.org/index.php/Barrow_Hall</t>
  </si>
  <si>
    <t>deepwood_motte</t>
  </si>
  <si>
    <t>Deepwood Motte</t>
  </si>
  <si>
    <t>Hornwood, White Harbor, Torrhen's Square</t>
  </si>
  <si>
    <t>house_glover</t>
  </si>
  <si>
    <t>Robett Glover</t>
  </si>
  <si>
    <t>Deep Wolfswood fortress.</t>
  </si>
  <si>
    <t>Wolfswood garrison</t>
  </si>
  <si>
    <t>https://awoiaf.westeros.org/index.php/Deepwood_Motte</t>
  </si>
  <si>
    <t>mormont_keep</t>
  </si>
  <si>
    <t>Mormont Keep</t>
  </si>
  <si>
    <t>White Harbor, Deepwood Motte</t>
  </si>
  <si>
    <t>house_mormont</t>
  </si>
  <si>
    <t>Jeor Mormont</t>
  </si>
  <si>
    <t>Island Northern fortress.</t>
  </si>
  <si>
    <t>Island fortress</t>
  </si>
  <si>
    <t>https://awoiaf.westeros.org/index.php/Mormont_Keep</t>
  </si>
  <si>
    <t>greywater_watch</t>
  </si>
  <si>
    <t>Greywater Watch</t>
  </si>
  <si>
    <t>Moat Cailin, Winterfell</t>
  </si>
  <si>
    <t>house_reed</t>
  </si>
  <si>
    <t>Howland Reed</t>
  </si>
  <si>
    <t>Mysterious swamp fortress.</t>
  </si>
  <si>
    <t>Magical stronghold</t>
  </si>
  <si>
    <t>https://awoiaf.westeros.org/index.php/Greywater_Watch</t>
  </si>
  <si>
    <t>last_hearth</t>
  </si>
  <si>
    <t>Last Hearth</t>
  </si>
  <si>
    <t>Dreadfort, Karhold, Winterfell</t>
  </si>
  <si>
    <t>house_umber</t>
  </si>
  <si>
    <t>Greatjon Umber</t>
  </si>
  <si>
    <t>Northern fortress near Gift.</t>
  </si>
  <si>
    <t>Wall proximity</t>
  </si>
  <si>
    <t>https://awoiaf.westeros.org/index.php/Last_Hearth</t>
  </si>
  <si>
    <t>torrhen_square</t>
  </si>
  <si>
    <t>Torrhen's Square</t>
  </si>
  <si>
    <t>Deepwood Motte, Castle Cerwyn, Hornwood</t>
  </si>
  <si>
    <t>house_tallhart</t>
  </si>
  <si>
    <t>Leobald Tallhart</t>
  </si>
  <si>
    <t>Named after ancient king</t>
  </si>
  <si>
    <t>https://awoiaf.westeros.org/index.php/Torrhen_Square</t>
  </si>
  <si>
    <t>wolfs_den</t>
  </si>
  <si>
    <t>Wolf's Den</t>
  </si>
  <si>
    <t>Coastal Northern fortress.</t>
  </si>
  <si>
    <t>Coastal defense</t>
  </si>
  <si>
    <t>https://awoiaf.westeros.org/index.php/Wolfs_Den</t>
  </si>
  <si>
    <t>oldcastle</t>
  </si>
  <si>
    <t>Oldcastle</t>
  </si>
  <si>
    <t>Last Hearth, Karhold</t>
  </si>
  <si>
    <t>house_locke</t>
  </si>
  <si>
    <t>Far North mountain fortress.</t>
  </si>
  <si>
    <t>Oldest fortress</t>
  </si>
  <si>
    <t>https://awoiaf.westeros.org/index.php/Oldcastle</t>
  </si>
  <si>
    <t>widows_watch</t>
  </si>
  <si>
    <t>Widow's Watch</t>
  </si>
  <si>
    <t>Last Hearth, Kingshouse</t>
  </si>
  <si>
    <t>tundra</t>
  </si>
  <si>
    <t>house_flint_widows_watch</t>
  </si>
  <si>
    <t>Far North tundra fortress.</t>
  </si>
  <si>
    <t>Tundra garrison</t>
  </si>
  <si>
    <t>https://awoiaf.westeros.org/index.php/Widows_Watch</t>
  </si>
  <si>
    <t>ramsgate</t>
  </si>
  <si>
    <t>Ramsgate</t>
  </si>
  <si>
    <t>Dreadfort, Hornwood</t>
  </si>
  <si>
    <t>https://awoiaf.westeros.org/index.php/Ramsgate</t>
  </si>
  <si>
    <t>highpoint</t>
  </si>
  <si>
    <t>Highpoint</t>
  </si>
  <si>
    <t>hills</t>
  </si>
  <si>
    <t>Northern hill fortress.</t>
  </si>
  <si>
    <t>Hill garrison</t>
  </si>
  <si>
    <t>https://awoiaf.westeros.org/index.php/Highpoint</t>
  </si>
  <si>
    <t>flints_finger</t>
  </si>
  <si>
    <t>Flint's Finger</t>
  </si>
  <si>
    <t>Mountain Northern stronghold.</t>
  </si>
  <si>
    <t>Geographic feature</t>
  </si>
  <si>
    <t>https://awoiaf.westeros.org/index.php/Flints_Finger</t>
  </si>
  <si>
    <t>sealskin_point</t>
  </si>
  <si>
    <t>Sealskin Point</t>
  </si>
  <si>
    <t>White Harbor, Wolf's Den</t>
  </si>
  <si>
    <t>Sealing port</t>
  </si>
  <si>
    <t>https://awoiaf.westeros.org/index.php/Sealskin_Point</t>
  </si>
  <si>
    <t>lonely_light</t>
  </si>
  <si>
    <t>Lonely Light</t>
  </si>
  <si>
    <t>Mormont Keep (sea)</t>
  </si>
  <si>
    <t>Remote Northern island fortress.</t>
  </si>
  <si>
    <t>Isolated outpost</t>
  </si>
  <si>
    <t>https://awoiaf.westeros.org/index.php/Lonely_Light</t>
  </si>
  <si>
    <t>dun_fort</t>
  </si>
  <si>
    <t>Dun Fort</t>
  </si>
  <si>
    <t>https://awoiaf.westeros.org/index.php/Dun_Fort</t>
  </si>
  <si>
    <t>crow_spike_keep</t>
  </si>
  <si>
    <t>Crow Spike Keep</t>
  </si>
  <si>
    <t>Deepwood Motte, Torrhen's Square</t>
  </si>
  <si>
    <t>Fortified position</t>
  </si>
  <si>
    <t>https://awoiaf.westeros.org/index.php/Crow_Spike_Keep</t>
  </si>
  <si>
    <t>hellgate_hall</t>
  </si>
  <si>
    <t>Hellgate Hall</t>
  </si>
  <si>
    <t>Last Hearth, Winterfell</t>
  </si>
  <si>
    <t>Northern fortress.</t>
  </si>
  <si>
    <t>Cursed fortress</t>
  </si>
  <si>
    <t>https://awoiaf.westeros.org/index.php/Hellgate_Hall</t>
  </si>
  <si>
    <t>harridan_hill</t>
  </si>
  <si>
    <t>Harridan Hill</t>
  </si>
  <si>
    <t>Dreadfort, Karhold</t>
  </si>
  <si>
    <t>Mountain garrison</t>
  </si>
  <si>
    <t>https://awoiaf.westeros.org/index.php/Harridan_Hill</t>
  </si>
  <si>
    <t>new_castle</t>
  </si>
  <si>
    <t>New Castle</t>
  </si>
  <si>
    <t>New construction</t>
  </si>
  <si>
    <t>https://awoiaf.westeros.org/index.php/New_Castle</t>
  </si>
  <si>
    <t>newkeep</t>
  </si>
  <si>
    <t>Newkeep</t>
  </si>
  <si>
    <t>Karhold, Barrow Hall</t>
  </si>
  <si>
    <t>New fortress</t>
  </si>
  <si>
    <t>https://awoiaf.westeros.org/index.php/Newkeep</t>
  </si>
  <si>
    <t>kingshouse</t>
  </si>
  <si>
    <t>Kingshouse</t>
  </si>
  <si>
    <t>Last Hearth, Widows Watch</t>
  </si>
  <si>
    <t>Wall access</t>
  </si>
  <si>
    <t>https://awoiaf.westeros.org/index.php/Kingshouse</t>
  </si>
  <si>
    <t>riverrun</t>
  </si>
  <si>
    <t>Riverrun</t>
  </si>
  <si>
    <t>Riverlands</t>
  </si>
  <si>
    <t>The Twins, Harrenhal, Seagard</t>
  </si>
  <si>
    <t>5</t>
  </si>
  <si>
    <t>river</t>
  </si>
  <si>
    <t>River fortress: naval advantage</t>
  </si>
  <si>
    <t>house_tully</t>
  </si>
  <si>
    <t>Hoster Tully</t>
  </si>
  <si>
    <t>Seat of House Tully, positioned at confluence of Red Fork and Tumblestone Rivers. Strong defensive position with riverine access.</t>
  </si>
  <si>
    <t>Tully ancestral seat, War of Five Kings headquarters</t>
  </si>
  <si>
    <t>https://awoiaf.westeros.org/index.php/Riverrun</t>
  </si>
  <si>
    <t>harrenhal</t>
  </si>
  <si>
    <t>Harrenhal</t>
  </si>
  <si>
    <t>Riverrun, The Twins, Darry, Crakehall</t>
  </si>
  <si>
    <t>Cursed castle: reduced morale</t>
  </si>
  <si>
    <t>Massive ruined fortress in the Riverlands, built by House Hoare with dragon fire. Largest castle in the Seven Kingdoms by size but badly damaged.</t>
  </si>
  <si>
    <t>Field of Fire Targaryen conquest, War of Five Kings strategic point</t>
  </si>
  <si>
    <t>https://awoiaf.westeros.org/index.php/Harrenhal</t>
  </si>
  <si>
    <t>the_twins</t>
  </si>
  <si>
    <t>The Twins</t>
  </si>
  <si>
    <t>Moat Cailin, Riverrun, The Trident</t>
  </si>
  <si>
    <t>Bridge toll: +1 gold per crossing</t>
  </si>
  <si>
    <t>house_frey</t>
  </si>
  <si>
    <t>Walder Frey</t>
  </si>
  <si>
    <t>Seat of House Frey, twin castles on either side of the Trident River. Controls only major river crossing between North and South.</t>
  </si>
  <si>
    <t>Frey ancestral seat, controls critical trade route</t>
  </si>
  <si>
    <t>https://awoiaf.westeros.org/index.php/Twins</t>
  </si>
  <si>
    <t>darry</t>
  </si>
  <si>
    <t>Darry</t>
  </si>
  <si>
    <t>Harrenhal, Riverrun, The Twins</t>
  </si>
  <si>
    <t>house_darry</t>
  </si>
  <si>
    <t>Riverlands fortress.</t>
  </si>
  <si>
    <t>Lannister occupation</t>
  </si>
  <si>
    <t>https://awoiaf.westeros.org/index.php/Darry</t>
  </si>
  <si>
    <t>raventree_hall</t>
  </si>
  <si>
    <t>Raventree Hall</t>
  </si>
  <si>
    <t>Riverrun, Stone Hedge, Harrenhal</t>
  </si>
  <si>
    <t>house_blackwood</t>
  </si>
  <si>
    <t>Tytos Blackwood</t>
  </si>
  <si>
    <t>Riverlands fortress with ancient tree.</t>
  </si>
  <si>
    <t>Old Gods shrine</t>
  </si>
  <si>
    <t>https://awoiaf.westeros.org/index.php/Raventree_Hall</t>
  </si>
  <si>
    <t>stone_hedge</t>
  </si>
  <si>
    <t>Stone Hedge</t>
  </si>
  <si>
    <t>Raventree Hall, Riverrun, Harrenhal</t>
  </si>
  <si>
    <t>house_bracken</t>
  </si>
  <si>
    <t>Humfrey Bracken</t>
  </si>
  <si>
    <t>Blackwood rival</t>
  </si>
  <si>
    <t>https://awoiaf.westeros.org/index.php/Stone_Hedge</t>
  </si>
  <si>
    <t>maidenpool</t>
  </si>
  <si>
    <t>Maidenpool</t>
  </si>
  <si>
    <t>Riverrun, Seagard, Harrenhal</t>
  </si>
  <si>
    <t>house_mooton</t>
  </si>
  <si>
    <t>Myles Mooton</t>
  </si>
  <si>
    <t>Riverlands port fortress.</t>
  </si>
  <si>
    <t>Port city</t>
  </si>
  <si>
    <t>https://awoiaf.westeros.org/index.php/Maidenpool</t>
  </si>
  <si>
    <t>pinkmaiden_castle</t>
  </si>
  <si>
    <t>Pinkmaiden Castle</t>
  </si>
  <si>
    <t>Riverrun, Acorn Hall, Seagard</t>
  </si>
  <si>
    <t>house_piper</t>
  </si>
  <si>
    <t>Pia Piper</t>
  </si>
  <si>
    <t>Riverlands river fortress.</t>
  </si>
  <si>
    <t>River fortress</t>
  </si>
  <si>
    <t>https://awoiaf.westeros.org/index.php/Pinkmaiden_Castle</t>
  </si>
  <si>
    <t>acorn_hall</t>
  </si>
  <si>
    <t>Acorn Hall</t>
  </si>
  <si>
    <t>Pinkmaiden, Riverrun, Maidenpool</t>
  </si>
  <si>
    <t>house_smallwood</t>
  </si>
  <si>
    <t>Riverlands forest fortress.</t>
  </si>
  <si>
    <t>Forest garrison</t>
  </si>
  <si>
    <t>https://awoiaf.westeros.org/index.php/Acorn_Hall</t>
  </si>
  <si>
    <t>seagard</t>
  </si>
  <si>
    <t>Seagard</t>
  </si>
  <si>
    <t>Maidenpool, The Twins, Harrenhal</t>
  </si>
  <si>
    <t>house_mallister</t>
  </si>
  <si>
    <t>Jason Mallister</t>
  </si>
  <si>
    <t>Naval fortress</t>
  </si>
  <si>
    <t>https://awoiaf.westeros.org/index.php/Seagard</t>
  </si>
  <si>
    <t>atranta</t>
  </si>
  <si>
    <t>Atranta</t>
  </si>
  <si>
    <t>Darry, Harrenhal</t>
  </si>
  <si>
    <t>house_vance_atranta</t>
  </si>
  <si>
    <t>https://awoiaf.westeros.org/index.php/Atranta</t>
  </si>
  <si>
    <t>castlewood</t>
  </si>
  <si>
    <t>Castlewood</t>
  </si>
  <si>
    <t>Stone Hedge, Raventree Hall</t>
  </si>
  <si>
    <t>https://awoiaf.westeros.org/index.php/Castlewood</t>
  </si>
  <si>
    <t>corpse_lake</t>
  </si>
  <si>
    <t>Corpse Lake</t>
  </si>
  <si>
    <t>Harrenhal, Darry</t>
  </si>
  <si>
    <t>water</t>
  </si>
  <si>
    <t>Riverlands water fortress.</t>
  </si>
  <si>
    <t>Haunted location</t>
  </si>
  <si>
    <t>https://awoiaf.westeros.org/index.php/Corpse_Lake</t>
  </si>
  <si>
    <t>darkdell</t>
  </si>
  <si>
    <t>Darkdell</t>
  </si>
  <si>
    <t>Stone Hedge, Riverrun</t>
  </si>
  <si>
    <t>Dark forest</t>
  </si>
  <si>
    <t>https://awoiaf.westeros.org/index.php/Darkdell</t>
  </si>
  <si>
    <t>dyre_den</t>
  </si>
  <si>
    <t>Dyre Den</t>
  </si>
  <si>
    <t>Riverrun, Pinkmaiden</t>
  </si>
  <si>
    <t>Cavern location</t>
  </si>
  <si>
    <t>https://awoiaf.westeros.org/index.php/Dyre_Den</t>
  </si>
  <si>
    <t>hollard_castle</t>
  </si>
  <si>
    <t>Hollard Castle</t>
  </si>
  <si>
    <t>Maidenpool, Acorn Hall</t>
  </si>
  <si>
    <t>Riverlands coastal fortress.</t>
  </si>
  <si>
    <t>Coastal garrison</t>
  </si>
  <si>
    <t>https://awoiaf.westeros.org/index.php/Hollard_castle</t>
  </si>
  <si>
    <t>lord_lychester_keep</t>
  </si>
  <si>
    <t>Lord Lychester's Keep</t>
  </si>
  <si>
    <t>Raventree Hall, Harrenhal</t>
  </si>
  <si>
    <t>https://awoiaf.westeros.org/index.php/Lord_Lychester%27s_keep</t>
  </si>
  <si>
    <t>oldstones</t>
  </si>
  <si>
    <t>Oldstones</t>
  </si>
  <si>
    <t>Harrenhal, Riverrun</t>
  </si>
  <si>
    <t>Ancient ruins</t>
  </si>
  <si>
    <t>https://awoiaf.westeros.org/index.php/Oldstones</t>
  </si>
  <si>
    <t>parchments</t>
  </si>
  <si>
    <t>Parchments</t>
  </si>
  <si>
    <t>Seagard, Maidenpool</t>
  </si>
  <si>
    <t>house_penrose</t>
  </si>
  <si>
    <t>Archive location</t>
  </si>
  <si>
    <t>https://awoiaf.westeros.org/index.php/Parchments</t>
  </si>
  <si>
    <t>riverspring</t>
  </si>
  <si>
    <t>Riverspring</t>
  </si>
  <si>
    <t>Acorn Hall, Riverrun</t>
  </si>
  <si>
    <t>Spring location</t>
  </si>
  <si>
    <t>https://awoiaf.westeros.org/index.php/Riverspring</t>
  </si>
  <si>
    <t>wayfarers_rest</t>
  </si>
  <si>
    <t>Wayfarer's Rest</t>
  </si>
  <si>
    <t>Riverrun, Acorn Hall</t>
  </si>
  <si>
    <t>house_vance_wayfarers</t>
  </si>
  <si>
    <t>Traveler refuge</t>
  </si>
  <si>
    <t>https://awoiaf.westeros.org/index.php/Wayfarers_Rest</t>
  </si>
  <si>
    <t>hayford</t>
  </si>
  <si>
    <t>Hayford</t>
  </si>
  <si>
    <t>house_hayford</t>
  </si>
  <si>
    <t>https://awoiaf.westeros.org/index.php/Hayford</t>
  </si>
  <si>
    <t>amberly</t>
  </si>
  <si>
    <t>Amberly</t>
  </si>
  <si>
    <t>Maidenpool, Hollard</t>
  </si>
  <si>
    <t>https://awoiaf.westeros.org/index.php/Amberly</t>
  </si>
  <si>
    <t>ironrath</t>
  </si>
  <si>
    <t>Ironrath</t>
  </si>
  <si>
    <t>The Twins, Riverrun</t>
  </si>
  <si>
    <t>Iron working</t>
  </si>
  <si>
    <t>https://awoiaf.westeros.org/index.php/Ironrath</t>
  </si>
  <si>
    <t>casterly_rock</t>
  </si>
  <si>
    <t>Casterly Rock</t>
  </si>
  <si>
    <t>Westerlands</t>
  </si>
  <si>
    <t>Lannisport, Crakehall, Kayce</t>
  </si>
  <si>
    <t>6</t>
  </si>
  <si>
    <t>Gold mines: +2 gold per cycle</t>
  </si>
  <si>
    <t>house_lannister</t>
  </si>
  <si>
    <t>Tywin Lannister</t>
  </si>
  <si>
    <t>Massive fortress built into a mountain in the Westerlands. Seat of House Lannister and repository of vast gold wealth.</t>
  </si>
  <si>
    <t>Lannister ancestral seat, impregnable fortress</t>
  </si>
  <si>
    <t>https://awoiaf.westeros.org/index.php/Casterly_Rock</t>
  </si>
  <si>
    <t>castamere</t>
  </si>
  <si>
    <t>Castamere</t>
  </si>
  <si>
    <t>Casterly Rock, Tarbeck Hall, Kayce</t>
  </si>
  <si>
    <t>Westerlands mountain fortress.</t>
  </si>
  <si>
    <t>Flooded fortress</t>
  </si>
  <si>
    <t>https://awoiaf.westeros.org/index.php/Castamere</t>
  </si>
  <si>
    <t>tarbeck_hall</t>
  </si>
  <si>
    <t>Tarbeck Hall</t>
  </si>
  <si>
    <t>Castamere, Casterly Rock, Lannisport</t>
  </si>
  <si>
    <t>Westerlands fortress.</t>
  </si>
  <si>
    <t>Burned stronghold</t>
  </si>
  <si>
    <t>https://awoiaf.westeros.org/index.php/Tarbeck_Hall</t>
  </si>
  <si>
    <t>ashemark</t>
  </si>
  <si>
    <t>Ashemark</t>
  </si>
  <si>
    <t>Casterly Rock, Crakehall, Ashford</t>
  </si>
  <si>
    <t>house_marbrand</t>
  </si>
  <si>
    <t>Damon Marbrand</t>
  </si>
  <si>
    <t>https://awoiaf.westeros.org/index.php/Ashemark</t>
  </si>
  <si>
    <t>crakehall</t>
  </si>
  <si>
    <t>Crakehall</t>
  </si>
  <si>
    <t>Casterly Rock, Castamere, Ashemark</t>
  </si>
  <si>
    <t>house_crakehall</t>
  </si>
  <si>
    <t>Sumner Crakehall</t>
  </si>
  <si>
    <t>https://awoiaf.westeros.org/index.php/Crakehall</t>
  </si>
  <si>
    <t>banefort</t>
  </si>
  <si>
    <t>Banefort</t>
  </si>
  <si>
    <t>Casterly Rock, Golden Tooth, Kayce</t>
  </si>
  <si>
    <t>house_banefort</t>
  </si>
  <si>
    <t>https://awoiaf.westeros.org/index.php/Banefort</t>
  </si>
  <si>
    <t>golden_tooth</t>
  </si>
  <si>
    <t>Golden Tooth</t>
  </si>
  <si>
    <t>Banefort, Golden Tooth Pass, Riverlands border</t>
  </si>
  <si>
    <t>house_lefford</t>
  </si>
  <si>
    <t>Westerlands fortress controlling pass.</t>
  </si>
  <si>
    <t>Pass control</t>
  </si>
  <si>
    <t>https://awoiaf.westeros.org/index.php/Golden_Tooth</t>
  </si>
  <si>
    <t>kayce</t>
  </si>
  <si>
    <t>Kayce</t>
  </si>
  <si>
    <t>Casterly Rock, Lannisport, Banefort</t>
  </si>
  <si>
    <t>Westerlands coastal fortress.</t>
  </si>
  <si>
    <t>https://awoiaf.westeros.org/index.php/Kayce</t>
  </si>
  <si>
    <t>cornfield</t>
  </si>
  <si>
    <t>Cornfield</t>
  </si>
  <si>
    <t>Castamere, Ashemark</t>
  </si>
  <si>
    <t>house_swyft</t>
  </si>
  <si>
    <t>Westerlands plains fortress.</t>
  </si>
  <si>
    <t>Grain fields</t>
  </si>
  <si>
    <t>https://awoiaf.westeros.org/index.php/Cornfield</t>
  </si>
  <si>
    <t>crag</t>
  </si>
  <si>
    <t>Crag</t>
  </si>
  <si>
    <t>Banefort, Golden Tooth</t>
  </si>
  <si>
    <t>house_westerling</t>
  </si>
  <si>
    <t>Roland Westerling</t>
  </si>
  <si>
    <t>https://awoiaf.westeros.org/index.php/Crag</t>
  </si>
  <si>
    <t>deep_den</t>
  </si>
  <si>
    <t>Deep Den</t>
  </si>
  <si>
    <t>Crakehall, Castamere</t>
  </si>
  <si>
    <t>house_lydden</t>
  </si>
  <si>
    <t>https://awoiaf.westeros.org/index.php/Deep_Den</t>
  </si>
  <si>
    <t>faircastle</t>
  </si>
  <si>
    <t>Faircastle</t>
  </si>
  <si>
    <t>Kayce, Lannisport</t>
  </si>
  <si>
    <t>https://awoiaf.westeros.org/index.php/Faircastle</t>
  </si>
  <si>
    <t>feastfires</t>
  </si>
  <si>
    <t>Feastfires</t>
  </si>
  <si>
    <t>Ashemark, Casterly Rock</t>
  </si>
  <si>
    <t>https://awoiaf.westeros.org/index.php/Feastfires</t>
  </si>
  <si>
    <t>sarsfield</t>
  </si>
  <si>
    <t>Sarsfield</t>
  </si>
  <si>
    <t>Castamere, Deep Den</t>
  </si>
  <si>
    <t>https://awoiaf.westeros.org/index.php/Sarsfield</t>
  </si>
  <si>
    <t>silverhill</t>
  </si>
  <si>
    <t>Silverhill</t>
  </si>
  <si>
    <t>Ashemark, Crakehall</t>
  </si>
  <si>
    <t>house_serrett</t>
  </si>
  <si>
    <t>Metal stronghold</t>
  </si>
  <si>
    <t>https://awoiaf.westeros.org/index.php/Silverhill</t>
  </si>
  <si>
    <t>hornvale</t>
  </si>
  <si>
    <t>Hornvale</t>
  </si>
  <si>
    <t>Banefort, Casterly Rock</t>
  </si>
  <si>
    <t>house_brax</t>
  </si>
  <si>
    <t>https://awoiaf.westeros.org/index.php/Hornvale</t>
  </si>
  <si>
    <t>downdelving</t>
  </si>
  <si>
    <t>Downdelving</t>
  </si>
  <si>
    <t>Westerlands underground fortress.</t>
  </si>
  <si>
    <t>Mining stronghold</t>
  </si>
  <si>
    <t>https://awoiaf.westeros.org/index.php/Downdelving</t>
  </si>
  <si>
    <t>highgarden</t>
  </si>
  <si>
    <t>Highgarden</t>
  </si>
  <si>
    <t>Reach</t>
  </si>
  <si>
    <t>Old Town, Three Towers, Cider Hall</t>
  </si>
  <si>
    <t>Fertile lands: +1 gold summer</t>
  </si>
  <si>
    <t>house_tyrell</t>
  </si>
  <si>
    <t>Mace Tyrell</t>
  </si>
  <si>
    <t>Magnificent fortress and gardens in the Reach. Seat of House Tyrell and wealthiest castle with the most fertile surrounding lands.</t>
  </si>
  <si>
    <t>Tyrell ancestral seat, cultural center of Reach</t>
  </si>
  <si>
    <t>https://awoiaf.westeros.org/index.php/Highgarden</t>
  </si>
  <si>
    <t>hightower</t>
  </si>
  <si>
    <t>Hightower</t>
  </si>
  <si>
    <t>Oldtown, Three Towers, Uplands</t>
  </si>
  <si>
    <t>Citadel: +1 knowledge</t>
  </si>
  <si>
    <t>house_hightower</t>
  </si>
  <si>
    <t>Tallest tower in the known world, in Oldtown at the mouth of the Honeywine River. Seat of House Hightower, center of knowledge and Maesters.</t>
  </si>
  <si>
    <t>Ancient fortress, seat of Citadel, lighthouse</t>
  </si>
  <si>
    <t>https://awoiaf.westeros.org/index.php/Hightower</t>
  </si>
  <si>
    <t>horn_hill</t>
  </si>
  <si>
    <t>Horn Hill</t>
  </si>
  <si>
    <t>Highgarden, Cider Hall, Bitterbridge</t>
  </si>
  <si>
    <t>house_tarly</t>
  </si>
  <si>
    <t>Randyll Tarly</t>
  </si>
  <si>
    <t>Reach fortress in Marches.</t>
  </si>
  <si>
    <t>Marcher castle</t>
  </si>
  <si>
    <t>https://awoiaf.westeros.org/index.php/Horn_Hill</t>
  </si>
  <si>
    <t>brightwater_keep</t>
  </si>
  <si>
    <t>Brightwater Keep</t>
  </si>
  <si>
    <t>Highgarden, Goldengrove, Old Oak</t>
  </si>
  <si>
    <t>house_florent</t>
  </si>
  <si>
    <t>Alester Florent</t>
  </si>
  <si>
    <t>Reach fortress.</t>
  </si>
  <si>
    <t>Water fortress</t>
  </si>
  <si>
    <t>https://awoiaf.westeros.org/index.php/Brightwater_Keep</t>
  </si>
  <si>
    <t>goldengrove</t>
  </si>
  <si>
    <t>Goldengrove</t>
  </si>
  <si>
    <t>Highgarden, Brightwater Keep, Old Oak</t>
  </si>
  <si>
    <t>house_rowan</t>
  </si>
  <si>
    <t>Reach fortress with golden groves.</t>
  </si>
  <si>
    <t>Golden groves</t>
  </si>
  <si>
    <t>https://awoiaf.westeros.org/index.php/Goldengrove</t>
  </si>
  <si>
    <t>longtable</t>
  </si>
  <si>
    <t>Longtable</t>
  </si>
  <si>
    <t>Highgarden, Bitterbridge, Three Towers</t>
  </si>
  <si>
    <t>house_merryweather</t>
  </si>
  <si>
    <t>Reach fortress with great hall.</t>
  </si>
  <si>
    <t>Grand hall</t>
  </si>
  <si>
    <t>https://awoiaf.westeros.org/index.php/Longtable</t>
  </si>
  <si>
    <t>old_oak</t>
  </si>
  <si>
    <t>Old Oak</t>
  </si>
  <si>
    <t>Goldengrove, Brightwater Keep, Highgarden</t>
  </si>
  <si>
    <t>house_oakheart</t>
  </si>
  <si>
    <t>Aryn Oakheart</t>
  </si>
  <si>
    <t>Ancient trees</t>
  </si>
  <si>
    <t>https://awoiaf.westeros.org/index.php/Old_Oak</t>
  </si>
  <si>
    <t>bitterbridge</t>
  </si>
  <si>
    <t>Bitterbridge</t>
  </si>
  <si>
    <t>Horn Hill, Highgarden, Longtable</t>
  </si>
  <si>
    <t>house_caswell</t>
  </si>
  <si>
    <t>Reach river fortress controlling bridge.</t>
  </si>
  <si>
    <t>Bridge control</t>
  </si>
  <si>
    <t>https://awoiaf.westeros.org/index.php/Bitterbridge</t>
  </si>
  <si>
    <t>starpike</t>
  </si>
  <si>
    <t>Starpike</t>
  </si>
  <si>
    <t>Goldengrove, Old Oak, Three Towers</t>
  </si>
  <si>
    <t>house_peake</t>
  </si>
  <si>
    <t>Reach fortress on peaks.</t>
  </si>
  <si>
    <t>Hill fortress</t>
  </si>
  <si>
    <t>https://awoiaf.westeros.org/index.php/Starpike</t>
  </si>
  <si>
    <t>red_lake</t>
  </si>
  <si>
    <t>Red Lake</t>
  </si>
  <si>
    <t>Highgarden, Longtable</t>
  </si>
  <si>
    <t>Reach water fortress.</t>
  </si>
  <si>
    <t>Water feature</t>
  </si>
  <si>
    <t>https://awoiaf.westeros.org/index.php/Red_Lake</t>
  </si>
  <si>
    <t>appleton</t>
  </si>
  <si>
    <t>Appleton</t>
  </si>
  <si>
    <t>Highgarden, Red Lake</t>
  </si>
  <si>
    <t>Reach fortress with orchards.</t>
  </si>
  <si>
    <t>Orchard fortress</t>
  </si>
  <si>
    <t>https://awoiaf.westeros.org/index.php/Appleton</t>
  </si>
  <si>
    <t>ashford</t>
  </si>
  <si>
    <t>Ashford</t>
  </si>
  <si>
    <t>Old Oak, Brightwater Keep, Longtable</t>
  </si>
  <si>
    <t>house_ashford</t>
  </si>
  <si>
    <t>Arwyn Ashford</t>
  </si>
  <si>
    <t>Tournament grounds</t>
  </si>
  <si>
    <t>https://awoiaf.westeros.org/index.php/Ashford</t>
  </si>
  <si>
    <t>bandallon</t>
  </si>
  <si>
    <t>Bandallon</t>
  </si>
  <si>
    <t>Horn Hill, Bitterbridge</t>
  </si>
  <si>
    <t>https://awoiaf.westeros.org/index.php/Bandallon</t>
  </si>
  <si>
    <t>cider_hall</t>
  </si>
  <si>
    <t>Cider Hall</t>
  </si>
  <si>
    <t>Horn Hill, Bitterbridge, Three Towers</t>
  </si>
  <si>
    <t>house_fossoway</t>
  </si>
  <si>
    <t>Reach fortress with apple production.</t>
  </si>
  <si>
    <t>Cider production</t>
  </si>
  <si>
    <t>https://awoiaf.westeros.org/index.php/Cider_Hall</t>
  </si>
  <si>
    <t>coldmoat</t>
  </si>
  <si>
    <t>Coldmoat</t>
  </si>
  <si>
    <t>Longtable, Starpike</t>
  </si>
  <si>
    <t>Reach hill fortress with moat.</t>
  </si>
  <si>
    <t>Defensive feature</t>
  </si>
  <si>
    <t>https://awoiaf.westeros.org/index.php/Coldmoat</t>
  </si>
  <si>
    <t>dunstonbury</t>
  </si>
  <si>
    <t>Dunstonbury</t>
  </si>
  <si>
    <t>Brightwater Keep, Goldengrove</t>
  </si>
  <si>
    <t>Reach forest fortress.</t>
  </si>
  <si>
    <t>https://awoiaf.westeros.org/index.php/Dunstonbury</t>
  </si>
  <si>
    <t>grassfield_keep</t>
  </si>
  <si>
    <t>Grassfield Keep</t>
  </si>
  <si>
    <t>Old Oak, Brightwater Keep</t>
  </si>
  <si>
    <t>Reach plains fortress.</t>
  </si>
  <si>
    <t>Plains garrison</t>
  </si>
  <si>
    <t>https://awoiaf.westeros.org/index.php/Grassfield_Keep</t>
  </si>
  <si>
    <t>greenfield</t>
  </si>
  <si>
    <t>Greenfield</t>
  </si>
  <si>
    <t>Highgarden, Old Oak</t>
  </si>
  <si>
    <t>Forest position</t>
  </si>
  <si>
    <t>https://awoiaf.westeros.org/index.php/Greenfield</t>
  </si>
  <si>
    <t>holyhall</t>
  </si>
  <si>
    <t>Holyhall</t>
  </si>
  <si>
    <t>Old Oak, Longtable</t>
  </si>
  <si>
    <t>Reach fortress with religious significance.</t>
  </si>
  <si>
    <t>Religious center</t>
  </si>
  <si>
    <t>https://awoiaf.westeros.org/index.php/Holyhall</t>
  </si>
  <si>
    <t>honeyholt</t>
  </si>
  <si>
    <t>Honeyholt</t>
  </si>
  <si>
    <t>Reach fortress with honey production.</t>
  </si>
  <si>
    <t>Honey production</t>
  </si>
  <si>
    <t>https://awoiaf.westeros.org/index.php/Honeyholt</t>
  </si>
  <si>
    <t>ivy_hall</t>
  </si>
  <si>
    <t>Ivy Hall</t>
  </si>
  <si>
    <t>Goldengrove, Brightwater Keep</t>
  </si>
  <si>
    <t>Reach forest fortress covered in ivy.</t>
  </si>
  <si>
    <t>Vine-covered</t>
  </si>
  <si>
    <t>https://awoiaf.westeros.org/index.php/Ivy_Hall</t>
  </si>
  <si>
    <t>standfast</t>
  </si>
  <si>
    <t>Standfast</t>
  </si>
  <si>
    <t>Reach hill fortress.</t>
  </si>
  <si>
    <t>https://awoiaf.westeros.org/index.php/Standfast</t>
  </si>
  <si>
    <t>sunhouse</t>
  </si>
  <si>
    <t>Sunhouse</t>
  </si>
  <si>
    <t>Reach fortress with sun aspect.</t>
  </si>
  <si>
    <t>Solar aspect</t>
  </si>
  <si>
    <t>https://awoiaf.westeros.org/index.php/Sunhouse</t>
  </si>
  <si>
    <t>three_towers</t>
  </si>
  <si>
    <t>Three Towers</t>
  </si>
  <si>
    <t>Longtable, Cider Hall, Starpike</t>
  </si>
  <si>
    <t>Reach fortress with three towers.</t>
  </si>
  <si>
    <t>Port fortress</t>
  </si>
  <si>
    <t>https://awoiaf.westeros.org/index.php/Three_Towers</t>
  </si>
  <si>
    <t>uplands</t>
  </si>
  <si>
    <t>Uplands</t>
  </si>
  <si>
    <t>Old Oak, Starpike</t>
  </si>
  <si>
    <t>house_mullendore</t>
  </si>
  <si>
    <t>https://awoiaf.westeros.org/index.php/Uplands</t>
  </si>
  <si>
    <t>whitegrove</t>
  </si>
  <si>
    <t>Whitegrove</t>
  </si>
  <si>
    <t>Goldengrove, Old Oak</t>
  </si>
  <si>
    <t>White grove</t>
  </si>
  <si>
    <t>https://awoiaf.westeros.org/index.php/Whitegrove</t>
  </si>
  <si>
    <t>willow_wood</t>
  </si>
  <si>
    <t>Willow Wood</t>
  </si>
  <si>
    <t>Reach water fortress with willows.</t>
  </si>
  <si>
    <t>Willow forest</t>
  </si>
  <si>
    <t>https://awoiaf.westeros.org/index.php/Willow_Wood</t>
  </si>
  <si>
    <t>whitewalls</t>
  </si>
  <si>
    <t>Whitewalls</t>
  </si>
  <si>
    <t>Longtable, Bitterbridge</t>
  </si>
  <si>
    <t>Reach fortress with white walls.</t>
  </si>
  <si>
    <t>White fortress</t>
  </si>
  <si>
    <t>https://awoiaf.westeros.org/index.php/Whitewalls</t>
  </si>
  <si>
    <t>new_barrel</t>
  </si>
  <si>
    <t>New Barrel</t>
  </si>
  <si>
    <t>Red Lake, Honeyholt</t>
  </si>
  <si>
    <t>Water garrison</t>
  </si>
  <si>
    <t>https://awoiaf.westeros.org/index.php/New_Barrel</t>
  </si>
  <si>
    <t>hammerhal</t>
  </si>
  <si>
    <t>Hammerhal</t>
  </si>
  <si>
    <t>Starpike, Three Towers</t>
  </si>
  <si>
    <t>https://awoiaf.westeros.org/index.php/Hammerhal</t>
  </si>
  <si>
    <t>solar</t>
  </si>
  <si>
    <t>Solar</t>
  </si>
  <si>
    <t>Reach fortress with sun room.</t>
  </si>
  <si>
    <t>Solar structure</t>
  </si>
  <si>
    <t>https://awoiaf.westeros.org/index.php/Solar</t>
  </si>
  <si>
    <t>spottswood</t>
  </si>
  <si>
    <t>Spottswood</t>
  </si>
  <si>
    <t>Starpike, Uplands</t>
  </si>
  <si>
    <t>https://awoiaf.westeros.org/index.php/Spottswood</t>
  </si>
  <si>
    <t>wyndhall</t>
  </si>
  <si>
    <t>Wyndhall</t>
  </si>
  <si>
    <t>Longtable, Three Towers</t>
  </si>
  <si>
    <t>Reach fortress with wind halls.</t>
  </si>
  <si>
    <t>Wind feature</t>
  </si>
  <si>
    <t>https://awoiaf.westeros.org/index.php/Wyndhall</t>
  </si>
  <si>
    <t>storms_end</t>
  </si>
  <si>
    <t>Storm's End</t>
  </si>
  <si>
    <t>Stormlands</t>
  </si>
  <si>
    <t>Caron, Blackhaven, Griffin's Roost</t>
  </si>
  <si>
    <t>Storm fortress: +3 defense</t>
  </si>
  <si>
    <t>house_baratheon</t>
  </si>
  <si>
    <t>Renly Baratheon</t>
  </si>
  <si>
    <t>Seat of House Baratheon, nearly impregnable fortress on a headland in the Stormlands. Built by Aegon the Conqueror.</t>
  </si>
  <si>
    <t>Built by Aegon the Conqueror, Baratheon ancestral seat, Robert's Rebellion</t>
  </si>
  <si>
    <t>https://awoiaf.westeros.org/index.php/Storms_End</t>
  </si>
  <si>
    <t>nightsong</t>
  </si>
  <si>
    <t>Nightsong</t>
  </si>
  <si>
    <t>Blackhaven, Caron, Summerhall</t>
  </si>
  <si>
    <t>house_caron</t>
  </si>
  <si>
    <t>Stormlands mountain fortress in Marches.</t>
  </si>
  <si>
    <t>https://awoiaf.westeros.org/index.php/Nightsong</t>
  </si>
  <si>
    <t>griffins_roost</t>
  </si>
  <si>
    <t>Griffin's Roost</t>
  </si>
  <si>
    <t>Storm's End, Nightsong, Summerhall</t>
  </si>
  <si>
    <t>house_connington</t>
  </si>
  <si>
    <t>John Connington</t>
  </si>
  <si>
    <t>Stormlands coastal fortress.</t>
  </si>
  <si>
    <t>https://awoiaf.westeros.org/index.php/Griffins_Roost</t>
  </si>
  <si>
    <t>evenfall_hall</t>
  </si>
  <si>
    <t>Evenfall Hall</t>
  </si>
  <si>
    <t>Storm's End, Tarth (island)</t>
  </si>
  <si>
    <t>house_tarth</t>
  </si>
  <si>
    <t>Selwyn Tarth</t>
  </si>
  <si>
    <t>Stormlands island fortress on Tarth.</t>
  </si>
  <si>
    <t>https://awoiaf.westeros.org/index.php/Evenfall_Hall</t>
  </si>
  <si>
    <t>summerhall</t>
  </si>
  <si>
    <t>Summerhall</t>
  </si>
  <si>
    <t>Nightsong, Griffin's Roost, Storm's End</t>
  </si>
  <si>
    <t>Stormlands mountain fortress.</t>
  </si>
  <si>
    <t>Targaryen seat</t>
  </si>
  <si>
    <t>https://awoiaf.westeros.org/index.php/Summerhall</t>
  </si>
  <si>
    <t>crows_nest</t>
  </si>
  <si>
    <t>Crow's Nest</t>
  </si>
  <si>
    <t>Griffin's Roost, Summerhall</t>
  </si>
  <si>
    <t>https://awoiaf.westeros.org/index.php/Crows_Nest</t>
  </si>
  <si>
    <t>grandview</t>
  </si>
  <si>
    <t>Grandview</t>
  </si>
  <si>
    <t>Storm's End, Griffin's Roost</t>
  </si>
  <si>
    <t>https://awoiaf.westeros.org/index.php/Grandview</t>
  </si>
  <si>
    <t>greenstone</t>
  </si>
  <si>
    <t>Greenstone</t>
  </si>
  <si>
    <t>Summerhall, Nightsong</t>
  </si>
  <si>
    <t>https://awoiaf.westeros.org/index.php/Greenstone</t>
  </si>
  <si>
    <t>mistwood</t>
  </si>
  <si>
    <t>Mistwood</t>
  </si>
  <si>
    <t>Stormlands forest fortress.</t>
  </si>
  <si>
    <t>https://awoiaf.westeros.org/index.php/Mistwood</t>
  </si>
  <si>
    <t>stonehelm</t>
  </si>
  <si>
    <t>Stonehelm</t>
  </si>
  <si>
    <t>Storm's End, Evenfall Hall</t>
  </si>
  <si>
    <t>house_swann</t>
  </si>
  <si>
    <t>Gulian Swann</t>
  </si>
  <si>
    <t>https://awoiaf.westeros.org/index.php/Stonehelm</t>
  </si>
  <si>
    <t>blackhaven</t>
  </si>
  <si>
    <t>Blackhaven</t>
  </si>
  <si>
    <t>Nightsong, Caron, Summerhall</t>
  </si>
  <si>
    <t>house_dondarrion</t>
  </si>
  <si>
    <t>Beric Dondarrion</t>
  </si>
  <si>
    <t>Marcher fortress</t>
  </si>
  <si>
    <t>https://awoiaf.westeros.org/index.php/Blackhaven</t>
  </si>
  <si>
    <t>bronzegate</t>
  </si>
  <si>
    <t>Bronzegate</t>
  </si>
  <si>
    <t>Stonehelm, Evenfall Hall</t>
  </si>
  <si>
    <t>house_buckler</t>
  </si>
  <si>
    <t>https://awoiaf.westeros.org/index.php/Bronzegate</t>
  </si>
  <si>
    <t>felwood</t>
  </si>
  <si>
    <t>Felwood</t>
  </si>
  <si>
    <t>house_fell</t>
  </si>
  <si>
    <t>https://awoiaf.westeros.org/index.php/Felwood</t>
  </si>
  <si>
    <t>harvest_hall</t>
  </si>
  <si>
    <t>Harvest Hall</t>
  </si>
  <si>
    <t>Nightsong, Blackhaven</t>
  </si>
  <si>
    <t>house_selmy</t>
  </si>
  <si>
    <t>Stormlands fortress in Marches.</t>
  </si>
  <si>
    <t>https://awoiaf.westeros.org/index.php/Harvest_Hall</t>
  </si>
  <si>
    <t>tumbleton</t>
  </si>
  <si>
    <t>Tumbleton</t>
  </si>
  <si>
    <t>Summerhall, Grandview</t>
  </si>
  <si>
    <t>Stormlands fortress.</t>
  </si>
  <si>
    <t>https://awoiaf.westeros.org/index.php/Tumbleton</t>
  </si>
  <si>
    <t>gallowsgrey</t>
  </si>
  <si>
    <t>Gallowsgrey</t>
  </si>
  <si>
    <t>Storm's End, Summerhall</t>
  </si>
  <si>
    <t>Execution site</t>
  </si>
  <si>
    <t>https://awoiaf.westeros.org/index.php/Gallowsgrey</t>
  </si>
  <si>
    <t>haystack_hall</t>
  </si>
  <si>
    <t>Haystack Hall</t>
  </si>
  <si>
    <t>Stormlands plains fortress.</t>
  </si>
  <si>
    <t>Agricultural garrison</t>
  </si>
  <si>
    <t>https://awoiaf.westeros.org/index.php/Haystack_Hall</t>
  </si>
  <si>
    <t>whispers</t>
  </si>
  <si>
    <t>Whispers</t>
  </si>
  <si>
    <t>Nightsong, Griffin's Roost</t>
  </si>
  <si>
    <t>Mysterious location</t>
  </si>
  <si>
    <t>https://awoiaf.westeros.org/index.php/Whispers</t>
  </si>
  <si>
    <t>sunspear</t>
  </si>
  <si>
    <t>Sunspear</t>
  </si>
  <si>
    <t>Dorne</t>
  </si>
  <si>
    <t>Yronwood, Starfall, Ghost Hill</t>
  </si>
  <si>
    <t>desert</t>
  </si>
  <si>
    <t>Desert fortress: heat attrition</t>
  </si>
  <si>
    <t>house_martell</t>
  </si>
  <si>
    <t>Doran Martell</t>
  </si>
  <si>
    <t>Seat of House Martell in Dorne, a luxurious palace-fortress with sandy bastions and gardens. Capital of Dorne.</t>
  </si>
  <si>
    <t>Martell ancestral seat, center of Dornish independence</t>
  </si>
  <si>
    <t>https://awoiaf.westeros.org/index.php/Sunspear</t>
  </si>
  <si>
    <t>hellholt</t>
  </si>
  <si>
    <t>Hellholt</t>
  </si>
  <si>
    <t>Yronwood, Godsgrace, Sandstone</t>
  </si>
  <si>
    <t>house_uller</t>
  </si>
  <si>
    <t>Deep desert fortress.</t>
  </si>
  <si>
    <t>Desert stronghold</t>
  </si>
  <si>
    <t>https://awoiaf.westeros.org/index.php/Hellholt</t>
  </si>
  <si>
    <t>yronwood</t>
  </si>
  <si>
    <t>Yronwood</t>
  </si>
  <si>
    <t>Boneway, Hellholt, Starfall</t>
  </si>
  <si>
    <t>house_yronwood</t>
  </si>
  <si>
    <t>Yoren Yronwood</t>
  </si>
  <si>
    <t>Mountain fortress controlling Boneway.</t>
  </si>
  <si>
    <t>Boneway guardian</t>
  </si>
  <si>
    <t>https://awoiaf.westeros.org/index.php/Yronwood</t>
  </si>
  <si>
    <t>starfall</t>
  </si>
  <si>
    <t>Starfall</t>
  </si>
  <si>
    <t>Yronwood, Godsgrace, Highgarden (sea)</t>
  </si>
  <si>
    <t>house_dayne</t>
  </si>
  <si>
    <t>Legendary coastal Dornish fortress.</t>
  </si>
  <si>
    <t>Arthur Dayne birthplace</t>
  </si>
  <si>
    <t>https://awoiaf.westeros.org/index.php/Starfall</t>
  </si>
  <si>
    <t>ghost_hill</t>
  </si>
  <si>
    <t>Ghost Hill</t>
  </si>
  <si>
    <t>Godsgrace, Skyreach, Sunspear (sea)</t>
  </si>
  <si>
    <t>house_toland</t>
  </si>
  <si>
    <t>Coastal Dornish fortress.</t>
  </si>
  <si>
    <t>https://awoiaf.westeros.org/index.php/Ghost_Hill</t>
  </si>
  <si>
    <t>godsgrace</t>
  </si>
  <si>
    <t>Godsgrace</t>
  </si>
  <si>
    <t>Ghost Hill, Hellholt, Yronwood, Sunspear</t>
  </si>
  <si>
    <t>house_allyrion</t>
  </si>
  <si>
    <t>Dornish stronghold.</t>
  </si>
  <si>
    <t>Religious importance</t>
  </si>
  <si>
    <t>https://awoiaf.westeros.org/index.php/Godsgrace</t>
  </si>
  <si>
    <t>high_hermitage</t>
  </si>
  <si>
    <t>High Hermitage</t>
  </si>
  <si>
    <t>Yronwood, Skyreach</t>
  </si>
  <si>
    <t>Mountain hermitage in Dorne.</t>
  </si>
  <si>
    <t>Religious retreat</t>
  </si>
  <si>
    <t>https://awoiaf.westeros.org/index.php/High_Hermitage</t>
  </si>
  <si>
    <t>kingsgrave</t>
  </si>
  <si>
    <t>Kingsgrave</t>
  </si>
  <si>
    <t>Yronwood, Godsgrace</t>
  </si>
  <si>
    <t>house_manwoody</t>
  </si>
  <si>
    <t>Mountain fortress in Dorne.</t>
  </si>
  <si>
    <t>Royal tombs</t>
  </si>
  <si>
    <t>https://awoiaf.westeros.org/index.php/Kingsgrave</t>
  </si>
  <si>
    <t>lemonwood</t>
  </si>
  <si>
    <t>Lemonwood</t>
  </si>
  <si>
    <t>Starfall, Sandstone</t>
  </si>
  <si>
    <t>Coastal Dornish castle.</t>
  </si>
  <si>
    <t>Lemon production</t>
  </si>
  <si>
    <t>https://awoiaf.westeros.org/index.php/Lemonwood</t>
  </si>
  <si>
    <t>blackmont</t>
  </si>
  <si>
    <t>Blackmont</t>
  </si>
  <si>
    <t>Hellholt, Vaith</t>
  </si>
  <si>
    <t>house_blackmont</t>
  </si>
  <si>
    <t>Desert Dornish fortress.</t>
  </si>
  <si>
    <t>Desert garrison</t>
  </si>
  <si>
    <t>https://awoiaf.westeros.org/index.php/Blackmont</t>
  </si>
  <si>
    <t>ghaston_grey</t>
  </si>
  <si>
    <t>Ghaston Grey</t>
  </si>
  <si>
    <t>Yronwood, Hellholt</t>
  </si>
  <si>
    <t>https://awoiaf.westeros.org/index.php/Ghaston_Grey</t>
  </si>
  <si>
    <t>salt_shore</t>
  </si>
  <si>
    <t>Salt Shore</t>
  </si>
  <si>
    <t>Godsgrace, Lemonwood</t>
  </si>
  <si>
    <t>house_gargalen</t>
  </si>
  <si>
    <t>Maritime trade</t>
  </si>
  <si>
    <t>https://awoiaf.westeros.org/index.php/Salt_Shore</t>
  </si>
  <si>
    <t>sandstone</t>
  </si>
  <si>
    <t>Sandstone</t>
  </si>
  <si>
    <t>Hellholt, Lemonwood, Sunspear</t>
  </si>
  <si>
    <t>house_qorgyle</t>
  </si>
  <si>
    <t>Desert fortress.</t>
  </si>
  <si>
    <t>Poison weapon center</t>
  </si>
  <si>
    <t>https://awoiaf.westeros.org/index.php/Sandstone</t>
  </si>
  <si>
    <t>skyreach</t>
  </si>
  <si>
    <t>Skyreach</t>
  </si>
  <si>
    <t>Princes Pass, Yronwood, Ghost Hill</t>
  </si>
  <si>
    <t>house_fowler</t>
  </si>
  <si>
    <t>Mountain fortress controlling Princes Pass.</t>
  </si>
  <si>
    <t>Princes Pass guardian</t>
  </si>
  <si>
    <t>https://awoiaf.westeros.org/index.php/Skyreach</t>
  </si>
  <si>
    <t>stinkwater</t>
  </si>
  <si>
    <t>Stinkwater</t>
  </si>
  <si>
    <t>Vaith, Hellholt</t>
  </si>
  <si>
    <t>Desert water source fortress.</t>
  </si>
  <si>
    <t>Water resource</t>
  </si>
  <si>
    <t>https://awoiaf.westeros.org/index.php/Stinkwater</t>
  </si>
  <si>
    <t>tor</t>
  </si>
  <si>
    <t>Tor</t>
  </si>
  <si>
    <t>Godsgrace, Vaith</t>
  </si>
  <si>
    <t>house_jordayne</t>
  </si>
  <si>
    <t>Dornish fortress.</t>
  </si>
  <si>
    <t>Scholarly center</t>
  </si>
  <si>
    <t>https://awoiaf.westeros.org/index.php/Tor</t>
  </si>
  <si>
    <t>vaith</t>
  </si>
  <si>
    <t>Vaith</t>
  </si>
  <si>
    <t>Tor, Blackmont</t>
  </si>
  <si>
    <t>house_vaith</t>
  </si>
  <si>
    <t>https://awoiaf.westeros.org/index.php/Vaith</t>
  </si>
  <si>
    <t>vultures_roost</t>
  </si>
  <si>
    <t>Vulture's Roost</t>
  </si>
  <si>
    <t>Hellholt, Godsgrace</t>
  </si>
  <si>
    <t>Mountain fortress.</t>
  </si>
  <si>
    <t>https://awoiaf.westeros.org/index.php/Vultures_Roost</t>
  </si>
  <si>
    <t>wyl</t>
  </si>
  <si>
    <t>Wyl</t>
  </si>
  <si>
    <t>house_wyl</t>
  </si>
  <si>
    <t>Mountain Dornish fortress.</t>
  </si>
  <si>
    <t>https://awoiaf.westeros.org/index.php/Wyl_(castle)</t>
  </si>
  <si>
    <t>morne</t>
  </si>
  <si>
    <t>Morne</t>
  </si>
  <si>
    <t>Godsgrace, Ghost Hill</t>
  </si>
  <si>
    <t>Sea fortification</t>
  </si>
  <si>
    <t>https://awoiaf.westeros.org/index.php/Morne</t>
  </si>
  <si>
    <t>rain_house</t>
  </si>
  <si>
    <t>Rain House</t>
  </si>
  <si>
    <t>Godsgrace, Sunspear</t>
  </si>
  <si>
    <t>Coastal Dornish stronghold.</t>
  </si>
  <si>
    <t>https://awoiaf.westeros.org/index.php/Rain_House</t>
  </si>
  <si>
    <t>eyrie</t>
  </si>
  <si>
    <t>Eyrie</t>
  </si>
  <si>
    <t>Vale</t>
  </si>
  <si>
    <t>Gulltown, Gates of the Moon, Runestone</t>
  </si>
  <si>
    <t>Impregnable: cannot siege summer</t>
  </si>
  <si>
    <t>house_arryn</t>
  </si>
  <si>
    <t>Jon Arryn</t>
  </si>
  <si>
    <t>Most impregnable castle in Westeros, perched atop a mountain. Seat of House Arryn.</t>
  </si>
  <si>
    <t>Eyrie fortress unassailable</t>
  </si>
  <si>
    <t>https://awoiaf.westeros.org/index.php/Eyrie</t>
  </si>
  <si>
    <t>gates_of_the_moon</t>
  </si>
  <si>
    <t>Gates of the Moon</t>
  </si>
  <si>
    <t>Eyrie, Runestone, Gulltown</t>
  </si>
  <si>
    <t>Vale mountain gateway fortress.</t>
  </si>
  <si>
    <t>Eyrie gate</t>
  </si>
  <si>
    <t>https://awoiaf.westeros.org/index.php/Gates_Of_The_Moon</t>
  </si>
  <si>
    <t>runestone</t>
  </si>
  <si>
    <t>Runestone</t>
  </si>
  <si>
    <t>Eyrie, Gates of the Moon, Ironoaks</t>
  </si>
  <si>
    <t>house_royce</t>
  </si>
  <si>
    <t>Yohn Royce</t>
  </si>
  <si>
    <t>Vale mountain fortress.</t>
  </si>
  <si>
    <t>Ancient house</t>
  </si>
  <si>
    <t>https://awoiaf.westeros.org/index.php/Runestone</t>
  </si>
  <si>
    <t>hearts_home</t>
  </si>
  <si>
    <t>Heart's Home</t>
  </si>
  <si>
    <t>Eyrie, Gates of the Moon, Gulltown</t>
  </si>
  <si>
    <t>https://awoiaf.westeros.org/index.php/Hearts_Home</t>
  </si>
  <si>
    <t>redfort</t>
  </si>
  <si>
    <t>Redfort</t>
  </si>
  <si>
    <t>Runestone, Gulltown, Snakewood</t>
  </si>
  <si>
    <t>house_redfort</t>
  </si>
  <si>
    <t>https://awoiaf.westeros.org/index.php/Redfort</t>
  </si>
  <si>
    <t>longbow_hall</t>
  </si>
  <si>
    <t>Longbow Hall</t>
  </si>
  <si>
    <t>Runestone, Gulltown, Coldwater Burn</t>
  </si>
  <si>
    <t>house_hunter</t>
  </si>
  <si>
    <t>Gilwood Hunter</t>
  </si>
  <si>
    <t>Hunting lodge</t>
  </si>
  <si>
    <t>https://awoiaf.westeros.org/index.php/Longbow_Hall</t>
  </si>
  <si>
    <t>coldwater_burn</t>
  </si>
  <si>
    <t>Coldwater Burn</t>
  </si>
  <si>
    <t>Longbow Hall, Gulltown</t>
  </si>
  <si>
    <t>house_coldwater</t>
  </si>
  <si>
    <t>Cold water source</t>
  </si>
  <si>
    <t>https://awoiaf.westeros.org/index.php/Coldwater_Burn</t>
  </si>
  <si>
    <t>gull_tower</t>
  </si>
  <si>
    <t>Gull Tower</t>
  </si>
  <si>
    <t>Gulltown, Redfort</t>
  </si>
  <si>
    <t>Vale coastal fortress.</t>
  </si>
  <si>
    <t>https://awoiaf.westeros.org/index.php/Gull_Tower</t>
  </si>
  <si>
    <t>ironoaks</t>
  </si>
  <si>
    <t>Ironoaks</t>
  </si>
  <si>
    <t>Runestone, Strongsong</t>
  </si>
  <si>
    <t>house_hardyng</t>
  </si>
  <si>
    <t>Vale fortress with iron oaks.</t>
  </si>
  <si>
    <t>Iron oak forest</t>
  </si>
  <si>
    <t>https://awoiaf.westeros.org/index.php/Ironoaks</t>
  </si>
  <si>
    <t>old_anchor</t>
  </si>
  <si>
    <t>Old Anchor</t>
  </si>
  <si>
    <t>Gulltown, Coldwater Burn</t>
  </si>
  <si>
    <t>Shipping port</t>
  </si>
  <si>
    <t>https://awoiaf.westeros.org/index.php/Old_Anchor</t>
  </si>
  <si>
    <t>snakewood</t>
  </si>
  <si>
    <t>Snakewood</t>
  </si>
  <si>
    <t>Redfort, Lynderly</t>
  </si>
  <si>
    <t>house_lynderly</t>
  </si>
  <si>
    <t>Vale forest fortress.</t>
  </si>
  <si>
    <t>https://awoiaf.westeros.org/index.php/Snakewood</t>
  </si>
  <si>
    <t>strongsong</t>
  </si>
  <si>
    <t>Strongsong</t>
  </si>
  <si>
    <t>Ironoaks, Runestone</t>
  </si>
  <si>
    <t>house_belmore</t>
  </si>
  <si>
    <t>https://awoiaf.westeros.org/index.php/Strongsong</t>
  </si>
  <si>
    <t>wickenden</t>
  </si>
  <si>
    <t>Wickenden</t>
  </si>
  <si>
    <t>Strongsong, Gull Tower</t>
  </si>
  <si>
    <t>https://awoiaf.westeros.org/index.php/Wickenden</t>
  </si>
  <si>
    <t>fawnton</t>
  </si>
  <si>
    <t>Fawnton</t>
  </si>
  <si>
    <t>Runestone, Coldwater Burn</t>
  </si>
  <si>
    <t>Hunting grounds</t>
  </si>
  <si>
    <t>https://awoiaf.westeros.org/index.php/Fawnton</t>
  </si>
  <si>
    <t>pyke</t>
  </si>
  <si>
    <t>Pyke</t>
  </si>
  <si>
    <t>Iron Islands</t>
  </si>
  <si>
    <t>Lordsport, Harlaw, Old Wyk</t>
  </si>
  <si>
    <t>7</t>
  </si>
  <si>
    <t>Sea fortress: naval only access</t>
  </si>
  <si>
    <t>house_greyjoy</t>
  </si>
  <si>
    <t>Balon Greyjoy</t>
  </si>
  <si>
    <t>drowned_god</t>
  </si>
  <si>
    <t>Seat of House Greyjoy on the island of Pyke in the Iron Islands. Connected by drawbridges, accessible by sea only.</t>
  </si>
  <si>
    <t>Greyjoy ancestral seat, rebellion against Iron Throne</t>
  </si>
  <si>
    <t>https://awoiaf.westeros.org/index.php/Pyke</t>
  </si>
  <si>
    <t>ten_towers</t>
  </si>
  <si>
    <t>Ten Towers</t>
  </si>
  <si>
    <t>Harlaw, Lordsport</t>
  </si>
  <si>
    <t>house_botley</t>
  </si>
  <si>
    <t>Iron Islands fortress.</t>
  </si>
  <si>
    <t>Fleet anchorage</t>
  </si>
  <si>
    <t>https://awoiaf.westeros.org/index.php/Ten_Towers</t>
  </si>
  <si>
    <t>hammerhorn</t>
  </si>
  <si>
    <t>Hammerhorn</t>
  </si>
  <si>
    <t>Pyke, Old Wyk, Great Wyk</t>
  </si>
  <si>
    <t>Metalworking center</t>
  </si>
  <si>
    <t>https://awoiaf.westeros.org/index.php/Hammerhorn</t>
  </si>
  <si>
    <t>harlaw_hall</t>
  </si>
  <si>
    <t>Harlaw Hall</t>
  </si>
  <si>
    <t>Harlaw, Ten Towers, Lordsport</t>
  </si>
  <si>
    <t>house_harlaw</t>
  </si>
  <si>
    <t>Rodrik Harlaw</t>
  </si>
  <si>
    <t>Harlaw Island fortress.</t>
  </si>
  <si>
    <t>Learning center</t>
  </si>
  <si>
    <t>https://awoiaf.westeros.org/index.php/Harlaw_Hall</t>
  </si>
  <si>
    <t>hoare_castle</t>
  </si>
  <si>
    <t>Hoare Castle</t>
  </si>
  <si>
    <t>Pyke, Old Wyk</t>
  </si>
  <si>
    <t>Historical importance</t>
  </si>
  <si>
    <t>https://awoiaf.westeros.org/index.php/Hoare_Castle</t>
  </si>
  <si>
    <t>iron_holt</t>
  </si>
  <si>
    <t>Iron Holt</t>
  </si>
  <si>
    <t>Pyke, Blacktyde</t>
  </si>
  <si>
    <t>house_wynch</t>
  </si>
  <si>
    <t>Iron Islands castle.</t>
  </si>
  <si>
    <t>Raiding base</t>
  </si>
  <si>
    <t>https://awoiaf.westeros.org/index.php/Iron_Holt</t>
  </si>
  <si>
    <t>lordsport</t>
  </si>
  <si>
    <t>Lordsport</t>
  </si>
  <si>
    <t>Pyke, Ten Towers, Harlaw</t>
  </si>
  <si>
    <t>Pyke's main harbor.</t>
  </si>
  <si>
    <t>Major port</t>
  </si>
  <si>
    <t>https://awoiaf.westeros.org/index.php/Lordsport</t>
  </si>
  <si>
    <t>pebbleton</t>
  </si>
  <si>
    <t>Pebbleton</t>
  </si>
  <si>
    <t>Pyke, Harlaw</t>
  </si>
  <si>
    <t>house_merlyn</t>
  </si>
  <si>
    <t>https://awoiaf.westeros.org/index.php/Pebbleton</t>
  </si>
  <si>
    <t>blacktyde</t>
  </si>
  <si>
    <t>Blacktyde</t>
  </si>
  <si>
    <t>Iron Holt, Volmark</t>
  </si>
  <si>
    <t>house_blacktyde</t>
  </si>
  <si>
    <t>Fleet garrison</t>
  </si>
  <si>
    <t>https://awoiaf.westeros.org/index.php/Blacktyde_(castle)</t>
  </si>
  <si>
    <t>volmark</t>
  </si>
  <si>
    <t>Volmark</t>
  </si>
  <si>
    <t>Blacktyde, Great Wyk</t>
  </si>
  <si>
    <t>house_volmark</t>
  </si>
  <si>
    <t>Great Wyk fortress.</t>
  </si>
  <si>
    <t>Naval base</t>
  </si>
  <si>
    <t>https://awoiaf.westeros.org/index.php/Volmark</t>
  </si>
  <si>
    <t>driftwood_hall</t>
  </si>
  <si>
    <t>Driftwood Hall</t>
  </si>
  <si>
    <t>Wooden fortress</t>
  </si>
  <si>
    <t>https://awoiaf.westeros.org/index.php/Driftwood_Hall</t>
  </si>
  <si>
    <t>deepdown</t>
  </si>
  <si>
    <t>Deepdown</t>
  </si>
  <si>
    <t>Old Wyk, Hoare Castle</t>
  </si>
  <si>
    <t>Deep underground fortress.</t>
  </si>
  <si>
    <t>Hidden fortress</t>
  </si>
  <si>
    <t>https://awoiaf.westeros.org/index.php/Deepdown</t>
  </si>
  <si>
    <t>broad_arch</t>
  </si>
  <si>
    <t>Broad Arch</t>
  </si>
  <si>
    <t>Harlaw, Ten Towers</t>
  </si>
  <si>
    <t>Natural feature</t>
  </si>
  <si>
    <t>https://awoiaf.westeros.org/index.php/Broad_Arch</t>
  </si>
  <si>
    <t>grimston</t>
  </si>
  <si>
    <t>Grimston</t>
  </si>
  <si>
    <t>Pyke, Hammerhorn</t>
  </si>
  <si>
    <t>Fortress garrison</t>
  </si>
  <si>
    <t>https://awoiaf.westeros.org/index.php/Grimston</t>
  </si>
  <si>
    <t>shatterstone</t>
  </si>
  <si>
    <t>Shatterstone</t>
  </si>
  <si>
    <t>Hammerhorn, Old Wyk</t>
  </si>
  <si>
    <t>Iron Islands rocky fortress.</t>
  </si>
  <si>
    <t>Coastal danger</t>
  </si>
  <si>
    <t>https://awoiaf.westeros.org/index.php/Shatterstone</t>
  </si>
  <si>
    <t>blackpool</t>
  </si>
  <si>
    <t>Blackpool</t>
  </si>
  <si>
    <t>Slate, Locke (north)</t>
  </si>
  <si>
    <t>Northern Iron Islands fortress.</t>
  </si>
  <si>
    <t>Northern outpost</t>
  </si>
  <si>
    <t>https://awoiaf.westeros.org/index.php/Blackpool</t>
  </si>
  <si>
    <t>grey_garden</t>
  </si>
  <si>
    <t>Grey Garden</t>
  </si>
  <si>
    <t>Pyke, Lonely Light</t>
  </si>
  <si>
    <t>Remote Iron Islands fortress.</t>
  </si>
  <si>
    <t>Remote garrison</t>
  </si>
  <si>
    <t>https://awoiaf.westeros.org/index.php/Grey_Garden</t>
  </si>
  <si>
    <t>grey_glen</t>
  </si>
  <si>
    <t>Grey Glen</t>
  </si>
  <si>
    <t>Harlaw, Old Wyk</t>
  </si>
  <si>
    <t>Iron Islands valley fortress.</t>
  </si>
  <si>
    <t>https://awoiaf.westeros.org/index.php/Grey_Glen</t>
  </si>
  <si>
    <t>DATA COLLECTION PROGRESS</t>
  </si>
  <si>
    <t>Region</t>
  </si>
  <si>
    <t>Total</t>
  </si>
  <si>
    <t>Complete</t>
  </si>
  <si>
    <t>Partial</t>
  </si>
  <si>
    <t>Stub</t>
  </si>
  <si>
    <t>TOTAL</t>
  </si>
  <si>
    <t>WESTEROS HOUSES DATA COLLECTION</t>
  </si>
  <si>
    <t>Collect data on every Great House and notable Noble House across Westeros</t>
  </si>
  <si>
    <t>Go to the 🏠 House Data sheet</t>
  </si>
  <si>
    <t>Find a row with Status = STUB (highlighted red)</t>
  </si>
  <si>
    <t>Visit the wiki URL in the last column for that house</t>
  </si>
  <si>
    <t>Fill in as many columns as you can from the wiki infobox and page content</t>
  </si>
  <si>
    <t>Change Status to PARTIAL when started, COMPLETE when done</t>
  </si>
  <si>
    <t>WHAT THE WIKI GIVES YOU</t>
  </si>
  <si>
    <t>Infobox</t>
  </si>
  <si>
    <t>Coat of arms description, Seat (castle), Head of house, Region, Titles, Overlords, Words/Motto, Ancestral weapons</t>
  </si>
  <si>
    <t>Page body</t>
  </si>
  <si>
    <t>History summary, notable members, current status, alliances</t>
  </si>
  <si>
    <t>Member list</t>
  </si>
  <si>
    <t>Named members with roles -- collect the head and heir at minimum</t>
  </si>
  <si>
    <t>STUB / PARTIAL / COMPLETE</t>
  </si>
  <si>
    <t>house_rank</t>
  </si>
  <si>
    <t>Auto-filled. Don't edit. (great / noble / minor / knightly)</t>
  </si>
  <si>
    <t>current_status</t>
  </si>
  <si>
    <t>Auto-filled as active. Change if extinct/exiled/deposed at start of AGOT</t>
  </si>
  <si>
    <t>seat_castle</t>
  </si>
  <si>
    <t>The castle they rule -- must match a slug from the Castle Data sheet (e.g. mormont_keep)</t>
  </si>
  <si>
    <t>sigil_description</t>
  </si>
  <si>
    <t>Text description of their coat of arms from wiki. e.g. 'A black bear over a green wood'</t>
  </si>
  <si>
    <t>house_words</t>
  </si>
  <si>
    <t>Their motto/words. e.g. 'Here We Stand'. Leave blank if unknown.</t>
  </si>
  <si>
    <t>overlord_house</t>
  </si>
  <si>
    <t>Which Great House they are sworn to. e.g. house_stark</t>
  </si>
  <si>
    <t>head_of_house</t>
  </si>
  <si>
    <t>Name of the lord/lady at the start of AGOT. e.g. Lady Maege Mormont</t>
  </si>
  <si>
    <t>head_title</t>
  </si>
  <si>
    <t>Their title. e.g. Lady of Bear Island, Lord of Casterly Rock</t>
  </si>
  <si>
    <t>heir</t>
  </si>
  <si>
    <t>Name of the heir, if known</t>
  </si>
  <si>
    <t>ancestral_weapon</t>
  </si>
  <si>
    <t>Any named Valyrian steel or ancestral weapons. e.g. Longclaw</t>
  </si>
  <si>
    <t>notable_members</t>
  </si>
  <si>
    <t>2-5 notable named members, comma-separated. Focus on lore-famous ones.</t>
  </si>
  <si>
    <t>allies_at_game_start</t>
  </si>
  <si>
    <t>Houses they are formally allied with at start of AGOT. Comma-separated house slugs.</t>
  </si>
  <si>
    <t>enemies_at_game_start</t>
  </si>
  <si>
    <t>Known rivals or enemies. e.g. house_bracken for house_blackwood</t>
  </si>
  <si>
    <t>wealth_rating</t>
  </si>
  <si>
    <t>1-10. How wealthy is this house? Lannister=10, Mormont=2</t>
  </si>
  <si>
    <t>military_rating</t>
  </si>
  <si>
    <t>1-10. How militarily powerful? Umber=7, Mormont=3</t>
  </si>
  <si>
    <t>influence_rating</t>
  </si>
  <si>
    <t>1-10. How politically influential? Tywin=10, Smallwood=2</t>
  </si>
  <si>
    <t>unique_trait</t>
  </si>
  <si>
    <t>One special game mechanic for this house, if any. e.g. 'Valyrian steel sword gives +1 combat'</t>
  </si>
  <si>
    <t>short_description</t>
  </si>
  <si>
    <t>2-3 sentences summarizing the house from the wiki intro</t>
  </si>
  <si>
    <t>notable_history</t>
  </si>
  <si>
    <t>1-2 key historical events worth knowing for game flavor</t>
  </si>
  <si>
    <t>HOUSE RANK GUIDE</t>
  </si>
  <si>
    <t>great</t>
  </si>
  <si>
    <t>The 9 paramount houses: Stark, Lannister, Tyrell, Baratheon, Arryn, Tully, Greyjoy, Martell, Targaryen (exiled)</t>
  </si>
  <si>
    <t>noble</t>
  </si>
  <si>
    <t>Lords with their own castles and sworn banners. The bulk of houses.</t>
  </si>
  <si>
    <t>minor</t>
  </si>
  <si>
    <t>Landed knights and small holdings. Fewer named members.</t>
  </si>
  <si>
    <t>knightly</t>
  </si>
  <si>
    <t>Knight houses with no castle of their own. Lowest tier.</t>
  </si>
  <si>
    <t>PRIORITY ORDER</t>
  </si>
  <si>
    <t>Priority 1</t>
  </si>
  <si>
    <t>All Great Houses -- fill these completely first</t>
  </si>
  <si>
    <t>Priority 2</t>
  </si>
  <si>
    <t>All houses that control Tier 1 or Tier 2 castles</t>
  </si>
  <si>
    <t>Priority 3</t>
  </si>
  <si>
    <t>Remaining noble houses with castles in the database</t>
  </si>
  <si>
    <t>Priority 4</t>
  </si>
  <si>
    <t>Minor and knightly houses -- basic info only</t>
  </si>
  <si>
    <t>Overlords</t>
  </si>
  <si>
    <t>The infobox always shows the overlord house. Use the house slug format (lowercase, underscore).</t>
  </si>
  <si>
    <t>Wealth clues</t>
  </si>
  <si>
    <t>Pages mention poverty ('poor house'), richness ('wealthiest'), mines, trade routes</t>
  </si>
  <si>
    <t>Military clues</t>
  </si>
  <si>
    <t>'fierce warriors', 'large garrison', 'renowned fighters' all signal high military rating</t>
  </si>
  <si>
    <t>Extinct houses</t>
  </si>
  <si>
    <t>Mark current_status as extinct. Still collect their data -- they appear in lore and history</t>
  </si>
  <si>
    <t>HERALDRY</t>
  </si>
  <si>
    <t>SEAT</t>
  </si>
  <si>
    <t>HIERARCHY</t>
  </si>
  <si>
    <t>MEMBERS</t>
  </si>
  <si>
    <t>GAME STATS</t>
  </si>
  <si>
    <t>House Stark</t>
  </si>
  <si>
    <t>A grey direwolf on a white field</t>
  </si>
  <si>
    <t>Winter is Coming</t>
  </si>
  <si>
    <t>Warden of the North / King in the North</t>
  </si>
  <si>
    <t>Robb Stark</t>
  </si>
  <si>
    <t>Ice (Valyrian steel greatsword)</t>
  </si>
  <si>
    <t>Catelyn Stark, Arya Stark, Sansa Stark, Jon Snow, Bran Stark, Rickon Stark</t>
  </si>
  <si>
    <t>house_arryn, house_tully, house_baratheon</t>
  </si>
  <si>
    <t>house_lannister, house_bolton</t>
  </si>
  <si>
    <t>Warden bonuses: +1 to all Northern castles. Harsh winter resilience.</t>
  </si>
  <si>
    <t>Ancient house of the North, ruling from Winterfell for thousands of years. Follow the Old Gods and descend from the First Men. Known for honor, loyalty, and direwolf sigil.</t>
  </si>
  <si>
    <t>Brandon the Builder founded the house. Repelled the Andal invasion at Moat Cailin. Robert's Rebellion against the Targaryens.</t>
  </si>
  <si>
    <t>https://awoiaf.westeros.org/index.php/House_Stark</t>
  </si>
  <si>
    <t>House Lannister</t>
  </si>
  <si>
    <t>A golden lion on a crimson field</t>
  </si>
  <si>
    <t>Hear Me Roar</t>
  </si>
  <si>
    <t>Warden of the West</t>
  </si>
  <si>
    <t>Cersei Lannister</t>
  </si>
  <si>
    <t>None known (house wealth instead)</t>
  </si>
  <si>
    <t>Cersei Lannister, Tyrion Lannister, Jaime Lannister, Kevan Lannister</t>
  </si>
  <si>
    <t>house_frey, house_baratheon</t>
  </si>
  <si>
    <t>house_stark, house_tully</t>
  </si>
  <si>
    <t>house_stark, house_riverlands</t>
  </si>
  <si>
    <t>Golden Tooth: +2 gold per turn. Wealth advantage.</t>
  </si>
  <si>
    <t>Wealthiest great house of the Seven Kingdoms, controlling vast gold mines in the Westerlands. Known for cunning, ambition, and ruthlessness.</t>
  </si>
  <si>
    <t>Lannister ancestral line goes back thousands of years. Fought Targaryens in Field of Fire. Dominant power in recent decades.</t>
  </si>
  <si>
    <t>https://awoiaf.westeros.org/index.php/House_Lannister</t>
  </si>
  <si>
    <t>House Tyrell</t>
  </si>
  <si>
    <t>A green rose on a green field</t>
  </si>
  <si>
    <t>Growing Strong</t>
  </si>
  <si>
    <t>Warden of the South / Lord of the Reach</t>
  </si>
  <si>
    <t>Willas Tyrell</t>
  </si>
  <si>
    <t>None known (fertility and culture)</t>
  </si>
  <si>
    <t>Cersei Lannister (married), Margaery Tyrell, Loras Tyrell, Randyll Tarly</t>
  </si>
  <si>
    <t>house_baratheon, house_hightower</t>
  </si>
  <si>
    <t>house_martell, house_stormlands</t>
  </si>
  <si>
    <t>house_dorne, house_stormlands</t>
  </si>
  <si>
    <t>Highgarden bonus: +1 gold all Reach castles. Most fertile region.</t>
  </si>
  <si>
    <t>Powerful great house of the Reach controlling the most fertile lands in the Seven Kingdoms. Known for prosperity, flowers, and shrewd politics.</t>
  </si>
  <si>
    <t>Relatively young house compared to others. Flourished under Targaryen rule. Became dominant power of the Reach.</t>
  </si>
  <si>
    <t>https://awoiaf.westeros.org/index.php/House_Tyrell</t>
  </si>
  <si>
    <t>House Baratheon</t>
  </si>
  <si>
    <t>A gold stag on a black field</t>
  </si>
  <si>
    <t>Ours is the Fury</t>
  </si>
  <si>
    <t>King of the Seven Kingdoms</t>
  </si>
  <si>
    <t>Joffrey Baratheon</t>
  </si>
  <si>
    <t>Warhammer (Robert's favorite)</t>
  </si>
  <si>
    <t>Cersei Lannister, Joffrey Baratheon, Myrcella Baratheon, Tommen Baratheon, Stannis Baratheon, Renly Baratheon</t>
  </si>
  <si>
    <t>house_lannister, house_tyrell</t>
  </si>
  <si>
    <t>house_stark, house_greyjoy</t>
  </si>
  <si>
    <t>house_dorne, house_reach</t>
  </si>
  <si>
    <t>Iron Throne control: bonuses to King's Landing</t>
  </si>
  <si>
    <t>Great house of the Stormlands, founded during Aegon's Conquest. Robert Baratheon sits the Iron Throne after rebellion against the Targaryens.</t>
  </si>
  <si>
    <t>Robert's Rebellion overthrew the Targaryen dynasty. Two branches: original (Storm's End) and newer (King's Landing).</t>
  </si>
  <si>
    <t>https://awoiaf.westeros.org/index.php/House_Baratheon</t>
  </si>
  <si>
    <t>House Arryn</t>
  </si>
  <si>
    <t>A white falcon and crescent moon on a blue field</t>
  </si>
  <si>
    <t>As High as Honor</t>
  </si>
  <si>
    <t>the_eyrie</t>
  </si>
  <si>
    <t>Warden of the East / Lord of the Eyrie</t>
  </si>
  <si>
    <t>Robert Arryn</t>
  </si>
  <si>
    <t>None known</t>
  </si>
  <si>
    <t>Catelyn Stark (married), Lysa Arryn, Sansa Stark (betrothed)</t>
  </si>
  <si>
    <t>house_stark, house_tully, house_baratheon</t>
  </si>
  <si>
    <t>house_north</t>
  </si>
  <si>
    <t>Eyrie immunity: Cannot be besieged in summer. Mountain protection.</t>
  </si>
  <si>
    <t>Ancient house of the Vale of Arryn, ruling from the impregnable Eyrie. Known for honor, nobility, and mountain strength.</t>
  </si>
  <si>
    <t>One of the oldest houses. Jon Arryn served as Hand to Robert Baratheon. Andal-descended house.</t>
  </si>
  <si>
    <t>https://awoiaf.westeros.org/index.php/House_Arryn</t>
  </si>
  <si>
    <t>House Tully</t>
  </si>
  <si>
    <t>A silver trout on a red and blue field</t>
  </si>
  <si>
    <t>Family, Duty, Honor</t>
  </si>
  <si>
    <t>Lord of the Riverlands / Warden of the Riverlands</t>
  </si>
  <si>
    <t>Edmure Tully</t>
  </si>
  <si>
    <t>Catelyn Stark (married), Lysa Arryn (married), Edmure Tully</t>
  </si>
  <si>
    <t>house_stark, house_arryn, house_baratheon</t>
  </si>
  <si>
    <t>house_lannister, house_greyjoy</t>
  </si>
  <si>
    <t>River commerce: +1 gold for water-connected castles</t>
  </si>
  <si>
    <t>Great house of the Riverlands controlling the rivers and crossroads. Known for family loyalty and river control from Riverrun.</t>
  </si>
  <si>
    <t>Relatively new great house. Key position between North, Vale, and Westerlands. Alliance-builders through marriages.</t>
  </si>
  <si>
    <t>https://awoiaf.westeros.org/index.php/House_Tully</t>
  </si>
  <si>
    <t>House Greyjoy</t>
  </si>
  <si>
    <t>A golden kraken on a black field</t>
  </si>
  <si>
    <t>We Do Not Sow</t>
  </si>
  <si>
    <t>King of the Iron Islands</t>
  </si>
  <si>
    <t>Theon Greyjoy</t>
  </si>
  <si>
    <t>None known (Valyrian steel swords rare)</t>
  </si>
  <si>
    <t>Theon Greyjoy, Asha Greyjoy, Rodrik Harlaw</t>
  </si>
  <si>
    <t>house_bolton, house_frey</t>
  </si>
  <si>
    <t>house_north, house_riverlands</t>
  </si>
  <si>
    <t>Naval dominance: Iron Fleet strength. Cannot use land routes.</t>
  </si>
  <si>
    <t>Powerful house of the Iron Islands following the Drowned God. Warlike seafaring culture, raiding tradition, and naval strength.</t>
  </si>
  <si>
    <t>Ancient house from the Iron Age of the First Men. Targaryen rebellion. Defiant culture resistant to conquest.</t>
  </si>
  <si>
    <t>https://awoiaf.westeros.org/index.php/House_Greyjoy</t>
  </si>
  <si>
    <t>House Martell</t>
  </si>
  <si>
    <t>A red sun pierced by a gold spear on an orange field</t>
  </si>
  <si>
    <t>Unbowed, Unbent, Unbroken</t>
  </si>
  <si>
    <t>Prince of Dorne</t>
  </si>
  <si>
    <t>Trystane Martell</t>
  </si>
  <si>
    <t>Doran Martell, Oberyn Martell, Elia Martell, Arianne Martell</t>
  </si>
  <si>
    <t>house_baratheon, house_lannister</t>
  </si>
  <si>
    <t>house_reach, house_stormlands</t>
  </si>
  <si>
    <t>Desert terrain: Non-Dorne armies suffer attrition. Only 2 entry points.</t>
  </si>
  <si>
    <t>Powerful house of Dorne, never fully conquered by Targaryens. Known for independence, scheming, and desert warfare tactics.</t>
  </si>
  <si>
    <t>Never submitted to Targaryen dragons. Maintains peace and prosperity in Dorne. Known for intricate political schemes.</t>
  </si>
  <si>
    <t>https://awoiaf.westeros.org/index.php/House_Martell</t>
  </si>
  <si>
    <t>House Targaryen</t>
  </si>
  <si>
    <t>A three-headed red dragon on a black field</t>
  </si>
  <si>
    <t>Fire and Blood</t>
  </si>
  <si>
    <t>Queen of the Dragons / Dragon's Daughter</t>
  </si>
  <si>
    <t>None</t>
  </si>
  <si>
    <t>None (dragons)</t>
  </si>
  <si>
    <t>Rhaegar Targaryen, Rhealla Targaryen, Viserys Targaryen</t>
  </si>
  <si>
    <t>none</t>
  </si>
  <si>
    <t>all</t>
  </si>
  <si>
    <t>Dragons: Ultimate power. Daenerys not yet known in Westeros.</t>
  </si>
  <si>
    <t>Ancient house of dragon lords from Valyria who conquered Westeros 300 years ago. Dynasty recently ended by Robert's Rebellion.</t>
  </si>
  <si>
    <t>Conquered Westeros with dragons. Ruled for 300 years. Mad King's regime and Mad King Aerys II death sparked Robert's Rebellion.</t>
  </si>
  <si>
    <t>https://awoiaf.westeros.org/index.php/House_Targaryen</t>
  </si>
  <si>
    <t>House Hightower</t>
  </si>
  <si>
    <t>A white tower on a grey field</t>
  </si>
  <si>
    <t>We Light the Way</t>
  </si>
  <si>
    <t>Lord of Hightower / Steward of the Citadel</t>
  </si>
  <si>
    <t>Citadel knowledge: +1 to intel</t>
  </si>
  <si>
    <t>Powerful Reach house with ancient roots. Seat is the legendary Hightower. Stewards of the Citadel and Maesters.</t>
  </si>
  <si>
    <t>One of oldest houses. Hightower built by First Men. Stewards of knowledge.</t>
  </si>
  <si>
    <t>https://awoiaf.westeros.org/index.php/House_Hightower</t>
  </si>
  <si>
    <t>House Bolton</t>
  </si>
  <si>
    <t>A flayed man on a pink field</t>
  </si>
  <si>
    <t>Our Blades Are Sharp</t>
  </si>
  <si>
    <t>the_dreadfort</t>
  </si>
  <si>
    <t>Warden of the North (contested)</t>
  </si>
  <si>
    <t>Ramsay Bolton</t>
  </si>
  <si>
    <t>Ramsay Bolton, Walda Frey</t>
  </si>
  <si>
    <t>house_frey, house_lannister</t>
  </si>
  <si>
    <t>Dread Flaying: +1 intimidation. Disloyal vassal mechanic.</t>
  </si>
  <si>
    <t>Powerful Northern house known for cruelty and flaying. Ancient rivals to House Stark. Seat is the grim Dreadfort.</t>
  </si>
  <si>
    <t>Brandon the Breaker attempted to conquer the North. Joined Lannisters against Starks in War of Five Kings.</t>
  </si>
  <si>
    <t>https://awoiaf.westeros.org/index.php/House_Bolton</t>
  </si>
  <si>
    <t>House Mormont</t>
  </si>
  <si>
    <t>A black bear on a green field</t>
  </si>
  <si>
    <t>Here We Stand</t>
  </si>
  <si>
    <t>bear_island</t>
  </si>
  <si>
    <t>Lord Commander of the Night's Watch (former)</t>
  </si>
  <si>
    <t>Dacey Mormont</t>
  </si>
  <si>
    <t>Longclaw (Valyrian steel, in custody of Jon Snow)</t>
  </si>
  <si>
    <t>Jeor Mormont, Jorah Mormont, Lyanna Mormont</t>
  </si>
  <si>
    <t>house_stark, house_manderly</t>
  </si>
  <si>
    <t>Bear Island strength: +1 to naval forces</t>
  </si>
  <si>
    <t>Northern house from Bear Island, loyal to the Starks. Known for producing strong warriors and sailors.</t>
  </si>
  <si>
    <t>Jeor Mormont leads Night's Watch. Jorah Mormont pledged to Daenerys.</t>
  </si>
  <si>
    <t>https://awoiaf.westeros.org/index.php/House_Mormont</t>
  </si>
  <si>
    <t>House Umber</t>
  </si>
  <si>
    <t>A roaring giant on a brown field</t>
  </si>
  <si>
    <t>The Umbers Take No Knife</t>
  </si>
  <si>
    <t>Lord of the Last Hearth</t>
  </si>
  <si>
    <t>Smalljon Umber</t>
  </si>
  <si>
    <t>Greatjon Umber, Smalljon Umber</t>
  </si>
  <si>
    <t>house_stark, house_karstark</t>
  </si>
  <si>
    <t>Giant blood legend: +1 strength</t>
  </si>
  <si>
    <t>Fierce Northern house from Last Hearth. Known for size, strength, and fierce warriors. Staunch Stark supporters.</t>
  </si>
  <si>
    <t>Greatjon declared Robb Stark King in the North. Later captured by Freys.</t>
  </si>
  <si>
    <t>https://awoiaf.westeros.org/index.php/House_Umber</t>
  </si>
  <si>
    <t>House Karstark</t>
  </si>
  <si>
    <t>A white sunburst on a black field</t>
  </si>
  <si>
    <t>The Sun of Winter</t>
  </si>
  <si>
    <t>Lord of Karhold</t>
  </si>
  <si>
    <t>Harrion Karstark</t>
  </si>
  <si>
    <t>Rickard Karstark, Torrhen Karstark</t>
  </si>
  <si>
    <t>house_stark, house_umber</t>
  </si>
  <si>
    <t>Winter resilience: +0.5 winter survival</t>
  </si>
  <si>
    <t>Northern house descended from Karlon Stark. Controls castles in the cold far North. Loyal Stark bannermen.</t>
  </si>
  <si>
    <t>Rickard Karstark demanded Lannister blood. Executed by Robb Stark.</t>
  </si>
  <si>
    <t>https://awoiaf.westeros.org/index.php/House_Karstark</t>
  </si>
  <si>
    <t>house_manderly</t>
  </si>
  <si>
    <t>House Manderly</t>
  </si>
  <si>
    <t>A white merman on a blue-green field</t>
  </si>
  <si>
    <t>Winter's Wrath</t>
  </si>
  <si>
    <t>white_harbor</t>
  </si>
  <si>
    <t>Wyman Manderly</t>
  </si>
  <si>
    <t>Lord of White Harbor</t>
  </si>
  <si>
    <t>Wylis Manderly</t>
  </si>
  <si>
    <t>Wyman Manderly, Jeyne Poole (guest)</t>
  </si>
  <si>
    <t>house_stark, house_arryn</t>
  </si>
  <si>
    <t>Harbor master: +2 naval access</t>
  </si>
  <si>
    <t>Wealthy house controlling White Harbor, only major port in the North. Andal-descended. Master traders and seafarers.</t>
  </si>
  <si>
    <t>Descendants of Hugor of the Hill. Provided support to Robert's Rebellion.</t>
  </si>
  <si>
    <t>https://awoiaf.westeros.org/index.php/House_Manderly</t>
  </si>
  <si>
    <t>House Glover</t>
  </si>
  <si>
    <t>A bronze glove on a black field</t>
  </si>
  <si>
    <t>Glover</t>
  </si>
  <si>
    <t>Lord of Deepwood Motte</t>
  </si>
  <si>
    <t>Jerah Glover</t>
  </si>
  <si>
    <t>Robett Glover, Jerah Glover</t>
  </si>
  <si>
    <t>Forest mastery: +1 to Deepwood defenses</t>
  </si>
  <si>
    <t>Northern house from Deepwood Motte in the Wolfswood. Known for craftsmanship and forest knowledge.</t>
  </si>
  <si>
    <t>Deepwood Motte is gateway between North and rest of the realm.</t>
  </si>
  <si>
    <t>https://awoiaf.westeros.org/index.php/House_Glover</t>
  </si>
  <si>
    <t>House Tallhart</t>
  </si>
  <si>
    <t>A green pine tree on a white field</t>
  </si>
  <si>
    <t>Lord of Torrhen's Square</t>
  </si>
  <si>
    <t>Brandon Tallhart</t>
  </si>
  <si>
    <t>Leobald Tallhart, Brandon Tallhart</t>
  </si>
  <si>
    <t>Northern sentinel: guards eastern approach</t>
  </si>
  <si>
    <t>Northern house from Torrhen's Square. Loyal vassals to House Stark.</t>
  </si>
  <si>
    <t>Named after Torrhen Stark, the Young King who took the throne.</t>
  </si>
  <si>
    <t>https://awoiaf.westeros.org/index.php/House_Tallhart</t>
  </si>
  <si>
    <t>House Cerwyn</t>
  </si>
  <si>
    <t>Three black stags on a white field</t>
  </si>
  <si>
    <t>Lord of Castle Cerwyn</t>
  </si>
  <si>
    <t>Cley Cerwyn Jr.</t>
  </si>
  <si>
    <t>Northern house near Winterfell. Minor but loyal to the Starks.</t>
  </si>
  <si>
    <t>Castle Cerwyn is south of Winterfell on the King's Road.</t>
  </si>
  <si>
    <t>https://awoiaf.westeros.org/index.php/House_Cerwyn</t>
  </si>
  <si>
    <t>House Hornwood</t>
  </si>
  <si>
    <t>A green wood with a forest-green field</t>
  </si>
  <si>
    <t>Lord of the Hornwood</t>
  </si>
  <si>
    <t>None (disputed)</t>
  </si>
  <si>
    <t>Daryn Hornwood, Jeyne Poole (ward)</t>
  </si>
  <si>
    <t>Northern house from the Hornwood. Small but with valuable forest lands.</t>
  </si>
  <si>
    <t>Lord Hornwood died in Lannister custody. Disputed succession.</t>
  </si>
  <si>
    <t>https://awoiaf.westeros.org/index.php/House_Hornwood</t>
  </si>
  <si>
    <t>House Dustin</t>
  </si>
  <si>
    <t>A yellow horse on a brown field</t>
  </si>
  <si>
    <t>barrowton</t>
  </si>
  <si>
    <t>Lady of Barrowton</t>
  </si>
  <si>
    <t>None (contested)</t>
  </si>
  <si>
    <t>Northern house from Barrowton in the Barrows. Known for horse breeding.</t>
  </si>
  <si>
    <t>Brandon Stark killed by Mad King. Widow remarried to Roose Bolton.</t>
  </si>
  <si>
    <t>https://awoiaf.westeros.org/index.php/House_Dustin</t>
  </si>
  <si>
    <t>house_ryswell</t>
  </si>
  <si>
    <t>House Ryswell</t>
  </si>
  <si>
    <t>A bronze wheel on a black field</t>
  </si>
  <si>
    <t>the_rills</t>
  </si>
  <si>
    <t>Lord of the Rills</t>
  </si>
  <si>
    <t>Northern house from the Rills. Minor house with ancient roots.</t>
  </si>
  <si>
    <t>Ancient house related to the North's history.</t>
  </si>
  <si>
    <t>https://awoiaf.westeros.org/index.php/House_Ryswell</t>
  </si>
  <si>
    <t>House Reed</t>
  </si>
  <si>
    <t>A green lizard-lion on a grey-green field</t>
  </si>
  <si>
    <t>We Stand Together</t>
  </si>
  <si>
    <t>Lord of Greywater Watch</t>
  </si>
  <si>
    <t>Jojen Reed</t>
  </si>
  <si>
    <t>Howland Reed, Jojen Reed, Meera Reed</t>
  </si>
  <si>
    <t>Greensight: Jojen has magical abilities</t>
  </si>
  <si>
    <t>Crannogmen house from the Neck. Mysterious, magical traditions. Fiercely loyal to House Stark.</t>
  </si>
  <si>
    <t>Howland Reed fought for Rhaegar at Trident. Father of Jojen and Meera with magical abilities.</t>
  </si>
  <si>
    <t>https://awoiaf.westeros.org/index.php/House_Reed</t>
  </si>
  <si>
    <t>House Flint of Widow's Watch</t>
  </si>
  <si>
    <t>A blue head on a white field</t>
  </si>
  <si>
    <t>Lord of Widow's Watch</t>
  </si>
  <si>
    <t>Mountain clan house from Widow's Watch in the far North. One of the mountain clans.</t>
  </si>
  <si>
    <t>Mountain clan tradition.</t>
  </si>
  <si>
    <t>https://awoiaf.westeros.org/index.php/House_Flint_Of_Widows_Watch</t>
  </si>
  <si>
    <t>House Locke</t>
  </si>
  <si>
    <t>A white lock on a black field</t>
  </si>
  <si>
    <t>Lord of Oldcastle</t>
  </si>
  <si>
    <t>Minor Northern house. One of the mountain clans.</t>
  </si>
  <si>
    <t>Small house with ancient traditions.</t>
  </si>
  <si>
    <t>https://awoiaf.westeros.org/index.php/House_Locke</t>
  </si>
  <si>
    <t>house_slate</t>
  </si>
  <si>
    <t>House Slate</t>
  </si>
  <si>
    <t>A grey slate on a white field</t>
  </si>
  <si>
    <t>Lord of Blackpool</t>
  </si>
  <si>
    <t>Minor Northern house. Mountain clan from far North.</t>
  </si>
  <si>
    <t>Ancient clan tradition.</t>
  </si>
  <si>
    <t>https://awoiaf.westeros.org/index.php/House_Slate</t>
  </si>
  <si>
    <t>house_stout</t>
  </si>
  <si>
    <t>House Stout</t>
  </si>
  <si>
    <t>A brown stag on a grey field</t>
  </si>
  <si>
    <t>goldgrove</t>
  </si>
  <si>
    <t>Lord of Goldgrove</t>
  </si>
  <si>
    <t>Minor Northern house. Small holdings.</t>
  </si>
  <si>
    <t>Loyal Northern clan.</t>
  </si>
  <si>
    <t>https://awoiaf.westeros.org/index.php/House_Stout</t>
  </si>
  <si>
    <t>House Frey</t>
  </si>
  <si>
    <t>Two castles connected by a bridge on a blue field</t>
  </si>
  <si>
    <t>Lord of the Crossing</t>
  </si>
  <si>
    <t>Ryman Frey</t>
  </si>
  <si>
    <t>Walder Frey, Ryman Frey, many children</t>
  </si>
  <si>
    <t>Crossing control: toll tax or capture required</t>
  </si>
  <si>
    <t>Powerful Riverlands house controlling The Twins. Wheel-turning, ambitious, untrustworthy. Recently rose to power.</t>
  </si>
  <si>
    <t>Broke oath to Starks, allied with Lannisters. Red Wedding orchestrated betrayal.</t>
  </si>
  <si>
    <t>https://awoiaf.westeros.org/index.php/House_Frey</t>
  </si>
  <si>
    <t>House Blackwood</t>
  </si>
  <si>
    <t>A black tree on a green field</t>
  </si>
  <si>
    <t>Lord of Raventree Hall</t>
  </si>
  <si>
    <t>Brynden Blackwood</t>
  </si>
  <si>
    <t>Tytos Blackwood, Brynden Blackwood</t>
  </si>
  <si>
    <t>Riverlands rivalry: eternal feud with House Bracken</t>
  </si>
  <si>
    <t>Ancient Riverlands house. Old Gods followers (rare in region). Known for mysticism and forest power.</t>
  </si>
  <si>
    <t>Ancient feud with Brackens. Supported Rhaegar Targaryen.</t>
  </si>
  <si>
    <t>https://awoiaf.westeros.org/index.php/House_Blackwood</t>
  </si>
  <si>
    <t>House Bracken</t>
  </si>
  <si>
    <t>A green horse on a yellow field</t>
  </si>
  <si>
    <t>stone_hedges</t>
  </si>
  <si>
    <t>Lord of Stone Hedge</t>
  </si>
  <si>
    <t>Jaime Bracken</t>
  </si>
  <si>
    <t>Humfrey Bracken, Jaime Bracken</t>
  </si>
  <si>
    <t>house_blackwood, house_stark</t>
  </si>
  <si>
    <t>Riverlands rivalry: eternal feud with House Blackwood</t>
  </si>
  <si>
    <t>Riverlands house in constant conflict with House Blackwood. Recent supporters of Lannisters.</t>
  </si>
  <si>
    <t>Ancient feud with Blackwoods. Supported Targaryen dynasty.</t>
  </si>
  <si>
    <t>https://awoiaf.westeros.org/index.php/House_Bracken</t>
  </si>
  <si>
    <t>House Mallister</t>
  </si>
  <si>
    <t>A white swan on a blue field</t>
  </si>
  <si>
    <t>Lord of Seagard</t>
  </si>
  <si>
    <t>Patrek Mallister</t>
  </si>
  <si>
    <t>Jason Mallister, Patrek Mallister</t>
  </si>
  <si>
    <t>house_stark, house_tully, house_arryn</t>
  </si>
  <si>
    <t>Naval strength: +1 sea forces</t>
  </si>
  <si>
    <t>Riverlands house controlling the port of Seagard. Defenders against Iron Islands. Loyal to the Crown.</t>
  </si>
  <si>
    <t>Defended against ironborn raiders. Fought in Robert's Rebellion.</t>
  </si>
  <si>
    <t>https://awoiaf.westeros.org/index.php/House_Mallister</t>
  </si>
  <si>
    <t>House Darry</t>
  </si>
  <si>
    <t>Yellow rays emanating from a white circle on a red field</t>
  </si>
  <si>
    <t>Unknown (dispossessed)</t>
  </si>
  <si>
    <t>Lord of Darry (contested)</t>
  </si>
  <si>
    <t>Riverlands house with ancient roots. Dispossessed during recent conflicts.</t>
  </si>
  <si>
    <t>Castle taken and held by Lannisters. Family displaced.</t>
  </si>
  <si>
    <t>https://awoiaf.westeros.org/index.php/House_Darry</t>
  </si>
  <si>
    <t>House Piper</t>
  </si>
  <si>
    <t>A green piper on a yellow field</t>
  </si>
  <si>
    <t>pinkmaiden</t>
  </si>
  <si>
    <t>Lady of Pinkmaiden</t>
  </si>
  <si>
    <t>Minor Riverlands house. Victimized during war.</t>
  </si>
  <si>
    <t>Suffered during War of Five Kings.</t>
  </si>
  <si>
    <t>https://awoiaf.westeros.org/index.php/House_Piper</t>
  </si>
  <si>
    <t>House Vance of Atranta</t>
  </si>
  <si>
    <t>A red wheel on a green field</t>
  </si>
  <si>
    <t>Lord of Atranta</t>
  </si>
  <si>
    <t>Riverlands house. One of the Vance branches.</t>
  </si>
  <si>
    <t>Minor house in Riverlands.</t>
  </si>
  <si>
    <t>https://awoiaf.westeros.org/index.php/House_Vance_Of_Atranta</t>
  </si>
  <si>
    <t>House Vance of Wayfarer's Rest</t>
  </si>
  <si>
    <t>Lord of Wayfarer's Rest</t>
  </si>
  <si>
    <t>Minor Riverlands house. One of Vance branches.</t>
  </si>
  <si>
    <t>Small house in Riverlands.</t>
  </si>
  <si>
    <t>https://awoiaf.westeros.org/index.php/House_Vance_Of_Wayfarers_Rest</t>
  </si>
  <si>
    <t>House Mooton</t>
  </si>
  <si>
    <t>A gold seahorse on a blue field</t>
  </si>
  <si>
    <t>Lord of Maidenpool</t>
  </si>
  <si>
    <t>Port access: +1 naval</t>
  </si>
  <si>
    <t>Riverlands house controlling the port of Maidenpool. Coastal trade access.</t>
  </si>
  <si>
    <t>Maidenpool is strategic coastal position.</t>
  </si>
  <si>
    <t>https://awoiaf.westeros.org/index.php/House_Mooton</t>
  </si>
  <si>
    <t>House Smallwood</t>
  </si>
  <si>
    <t>Three green pine trees on a brown field</t>
  </si>
  <si>
    <t>Lord of Acorn Hall</t>
  </si>
  <si>
    <t>Minor Riverlands house with forest holdings.</t>
  </si>
  <si>
    <t>Small but loyal house.</t>
  </si>
  <si>
    <t>https://awoiaf.westeros.org/index.php/House_Smallwood</t>
  </si>
  <si>
    <t>house_whent</t>
  </si>
  <si>
    <t>House Whent</t>
  </si>
  <si>
    <t>Three black ravens on a white field</t>
  </si>
  <si>
    <t>Unknown (Harrenhal disputed)</t>
  </si>
  <si>
    <t>Lord of Harrenhal (contested)</t>
  </si>
  <si>
    <t>Riverlands house. Line ended. Harrenhal is cursed fortress.</t>
  </si>
  <si>
    <t>House line ended. Harrenhal is legendary cursed seat.</t>
  </si>
  <si>
    <t>https://awoiaf.westeros.org/index.php/House_Whent</t>
  </si>
  <si>
    <t>house_vypren</t>
  </si>
  <si>
    <t>House Vypren</t>
  </si>
  <si>
    <t>A red spear on a yellow field</t>
  </si>
  <si>
    <t>stillfen</t>
  </si>
  <si>
    <t>Lord of Stillfen</t>
  </si>
  <si>
    <t>Minor Riverlands house. Allied with Lannisters during war.</t>
  </si>
  <si>
    <t>Switched allegiances during conflict.</t>
  </si>
  <si>
    <t>https://awoiaf.westeros.org/index.php/House_Vypren</t>
  </si>
  <si>
    <t>house_goodbrook</t>
  </si>
  <si>
    <t>House Goodbrook</t>
  </si>
  <si>
    <t>A blue water lily on a green field</t>
  </si>
  <si>
    <t>goodbrook</t>
  </si>
  <si>
    <t>Lord of Goodbrook</t>
  </si>
  <si>
    <t>Minor Riverlands house with river access.</t>
  </si>
  <si>
    <t>Small house on river.</t>
  </si>
  <si>
    <t>https://awoiaf.westeros.org/index.php/House_Goodbrook</t>
  </si>
  <si>
    <t>House Crakehall</t>
  </si>
  <si>
    <t>Three black hands on a yellow field</t>
  </si>
  <si>
    <t>Lord of Crakehall</t>
  </si>
  <si>
    <t>Westerlands house. Loyal to House Lannister. Ancient roots in the region.</t>
  </si>
  <si>
    <t>Supported Targaryen dynasty.</t>
  </si>
  <si>
    <t>https://awoiaf.westeros.org/index.php/House_Crakehall</t>
  </si>
  <si>
    <t>House Marbrand</t>
  </si>
  <si>
    <t>A burning tree on a orange-red field</t>
  </si>
  <si>
    <t>Lord of Ashemark</t>
  </si>
  <si>
    <t>Tybolt Marbrand</t>
  </si>
  <si>
    <t>Damon Marbrand, Tybolt Marbrand</t>
  </si>
  <si>
    <t>Westerlands house with red and orange colors. Loyal bannermen to the Lannisters.</t>
  </si>
  <si>
    <t>House of skilled warriors.</t>
  </si>
  <si>
    <t>https://awoiaf.westeros.org/index.php/House_Marbrand</t>
  </si>
  <si>
    <t>House Westerling</t>
  </si>
  <si>
    <t>A red and white striped shield</t>
  </si>
  <si>
    <t>the_crag</t>
  </si>
  <si>
    <t>Lord of the Crag</t>
  </si>
  <si>
    <t>Roland Westerling, Jeyne Westerling</t>
  </si>
  <si>
    <t>Minor Westerlands house from the Crag. Bearers of a tragic tale in the War of Five Kings.</t>
  </si>
  <si>
    <t>Jeyne Westerling married Robb Stark, breaking oath to Freys.</t>
  </si>
  <si>
    <t>https://awoiaf.westeros.org/index.php/House_Westerling</t>
  </si>
  <si>
    <t>House Banefort</t>
  </si>
  <si>
    <t>Three black mastiffs on a red field</t>
  </si>
  <si>
    <t>Lord of Banefort</t>
  </si>
  <si>
    <t>Minor Westerlands house. Bannermen to House Lannister.</t>
  </si>
  <si>
    <t>https://awoiaf.westeros.org/index.php/House_Banefort</t>
  </si>
  <si>
    <t>house_prester</t>
  </si>
  <si>
    <t>House Prester</t>
  </si>
  <si>
    <t>A yellow lion on a red field</t>
  </si>
  <si>
    <t>feastfor</t>
  </si>
  <si>
    <t>Lord of Feastfor</t>
  </si>
  <si>
    <t>Minor Westerlands house. Loyal to the Lannisters.</t>
  </si>
  <si>
    <t>Small family with minor holdings.</t>
  </si>
  <si>
    <t>https://awoiaf.westeros.org/index.php/House_Prester</t>
  </si>
  <si>
    <t>House Lefford</t>
  </si>
  <si>
    <t>A golden gauntlet on a red field</t>
  </si>
  <si>
    <t>Lord of the Golden Tooth</t>
  </si>
  <si>
    <t>Westerlands house controlling Golden Tooth pass. Strategic position.</t>
  </si>
  <si>
    <t>Controls important mountain pass.</t>
  </si>
  <si>
    <t>https://awoiaf.westeros.org/index.php/House_Lefford</t>
  </si>
  <si>
    <t>House Lydden</t>
  </si>
  <si>
    <t>A blue lyden tree on a white field</t>
  </si>
  <si>
    <t>Lord of Deep Den</t>
  </si>
  <si>
    <t>Minor Westerlands house. Loyal to House Lannister.</t>
  </si>
  <si>
    <t>Small house in mountains.</t>
  </si>
  <si>
    <t>https://awoiaf.westeros.org/index.php/House_Lydden</t>
  </si>
  <si>
    <t>House Brax</t>
  </si>
  <si>
    <t>A gold braxel on a red field</t>
  </si>
  <si>
    <t>Lord of Hornvale</t>
  </si>
  <si>
    <t>Small Westerlands family.</t>
  </si>
  <si>
    <t>https://awoiaf.westeros.org/index.php/House_Brax</t>
  </si>
  <si>
    <t>House Swyft</t>
  </si>
  <si>
    <t>A white swift on a grey field</t>
  </si>
  <si>
    <t>Lord of Cornfield</t>
  </si>
  <si>
    <t>Small house with modest holdings.</t>
  </si>
  <si>
    <t>https://awoiaf.westeros.org/index.php/House_Swyft</t>
  </si>
  <si>
    <t>house_clegane</t>
  </si>
  <si>
    <t>House Clegane</t>
  </si>
  <si>
    <t>A black dog on a yellow field</t>
  </si>
  <si>
    <t>cleganes_keep</t>
  </si>
  <si>
    <t>Tywin Lannister (overlord)</t>
  </si>
  <si>
    <t>Knight of Clegane's Keep</t>
  </si>
  <si>
    <t>Gregor Clegane, Sandor Clegane</t>
  </si>
  <si>
    <t>Mountain strength: +1 combat</t>
  </si>
  <si>
    <t>Minor Westerlands house. Known for brutal warriors, especially Gregor "The Mountain" Clegane.</t>
  </si>
  <si>
    <t>Gregor Clegane is notorious for violence and war crimes.</t>
  </si>
  <si>
    <t>https://awoiaf.westeros.org/index.php/House_Clegane</t>
  </si>
  <si>
    <t>House Serrett</t>
  </si>
  <si>
    <t>A white stag on a green field</t>
  </si>
  <si>
    <t>Lord of Silverhill</t>
  </si>
  <si>
    <t>Small house in Westerlands.</t>
  </si>
  <si>
    <t>https://awoiaf.westeros.org/index.php/House_Serrett</t>
  </si>
  <si>
    <t>house_spicer</t>
  </si>
  <si>
    <t>House Spicer</t>
  </si>
  <si>
    <t>A yellow spice on a red field</t>
  </si>
  <si>
    <t>Lord of Castamere</t>
  </si>
  <si>
    <t>Small house with modest lands.</t>
  </si>
  <si>
    <t>https://awoiaf.westeros.org/index.php/House_Spicer</t>
  </si>
  <si>
    <t>house_redwyne</t>
  </si>
  <si>
    <t>House Redwyne</t>
  </si>
  <si>
    <t>A purple grape bunch on a white field</t>
  </si>
  <si>
    <t>The Taste of Victory</t>
  </si>
  <si>
    <t>the_arbor</t>
  </si>
  <si>
    <t>Leyton Redwyne</t>
  </si>
  <si>
    <t>Lord of the Arbor</t>
  </si>
  <si>
    <t>Thaddeus Redwyne</t>
  </si>
  <si>
    <t>Leyton Redwyne, Thaddeus Redwyne</t>
  </si>
  <si>
    <t>Naval dominance: Fleet command</t>
  </si>
  <si>
    <t>Wealthy Reach house from the Arbor. Command the Redwyne fleet, one of strongest navies. Wine and luxury goods.</t>
  </si>
  <si>
    <t>Arbor wine is legendary. Fleet is critical to Reach power.</t>
  </si>
  <si>
    <t>https://awoiaf.westeros.org/index.php/House_Redwyne</t>
  </si>
  <si>
    <t>House Florent</t>
  </si>
  <si>
    <t>A green flower on a red field</t>
  </si>
  <si>
    <t>Lord of Brightwater Keep</t>
  </si>
  <si>
    <t>house_tyrell, house_baratheon</t>
  </si>
  <si>
    <t>Reach house. Connections to both Tyrell and Baratheon houses.</t>
  </si>
  <si>
    <t>Minor house with marriage alliances.</t>
  </si>
  <si>
    <t>https://awoiaf.westeros.org/index.php/House_Florent</t>
  </si>
  <si>
    <t>House Tarly</t>
  </si>
  <si>
    <t>A green huntsman on a yellow field</t>
  </si>
  <si>
    <t>First in Battle</t>
  </si>
  <si>
    <t>Lord of Horn Hill</t>
  </si>
  <si>
    <t>Samwell Tarly</t>
  </si>
  <si>
    <t>Heartsbane (Valyrian steel)</t>
  </si>
  <si>
    <t>Randyll Tarly, Samwell Tarly</t>
  </si>
  <si>
    <t>Military prowess: +1 to combat</t>
  </si>
  <si>
    <t>Reach house known for martial strength. Randyll Tarly is renowned commander. Controls Dornish Marches.</t>
  </si>
  <si>
    <t>Tarlys are known as finest warriors. Horn Hill is in the Marches.</t>
  </si>
  <si>
    <t>https://awoiaf.westeros.org/index.php/House_Tarly</t>
  </si>
  <si>
    <t>House Oakheart</t>
  </si>
  <si>
    <t>A green oak on a brown field</t>
  </si>
  <si>
    <t>Lord of Old Oak</t>
  </si>
  <si>
    <t>Reach house controlling Old Oak. Loyal bannermen to the Tyrells.</t>
  </si>
  <si>
    <t>House of knights and loyal vassals.</t>
  </si>
  <si>
    <t>https://awoiaf.westeros.org/index.php/House_Oakheart</t>
  </si>
  <si>
    <t>House Rowan</t>
  </si>
  <si>
    <t>A white rowan on a green field</t>
  </si>
  <si>
    <t>We Bend the Knee to None</t>
  </si>
  <si>
    <t>Lord of Goldengrove</t>
  </si>
  <si>
    <t>Reach house. Loyal bannermen to the Tyrells.</t>
  </si>
  <si>
    <t>Ancient house with proud words.</t>
  </si>
  <si>
    <t>https://awoiaf.westeros.org/index.php/House_Rowan</t>
  </si>
  <si>
    <t>House Ashford</t>
  </si>
  <si>
    <t>A green oak tree on a grey field</t>
  </si>
  <si>
    <t>The Seed of the Tree</t>
  </si>
  <si>
    <t>ashford_castle</t>
  </si>
  <si>
    <t>Lady of Ashford</t>
  </si>
  <si>
    <t>Reach house. Bannermen to House Tyrell. Known for tournaments and chivalry.</t>
  </si>
  <si>
    <t>House of knights and tournament tradition.</t>
  </si>
  <si>
    <t>https://awoiaf.westeros.org/index.php/House_Ashford</t>
  </si>
  <si>
    <t>House Peake</t>
  </si>
  <si>
    <t>A black peak on a white field</t>
  </si>
  <si>
    <t>Lord of Starpike</t>
  </si>
  <si>
    <t>Reach house. Loyal bannermen to House Tyrell.</t>
  </si>
  <si>
    <t>Small house in the Reach.</t>
  </si>
  <si>
    <t>https://awoiaf.westeros.org/index.php/House_Peake</t>
  </si>
  <si>
    <t>House Merryweather</t>
  </si>
  <si>
    <t>A gold rain on a blue field</t>
  </si>
  <si>
    <t>Lord of Longtable</t>
  </si>
  <si>
    <t>Reach house. Bannermen to House Tyrell.</t>
  </si>
  <si>
    <t>House with modest holdings.</t>
  </si>
  <si>
    <t>https://awoiaf.westeros.org/index.php/House_Merryweather</t>
  </si>
  <si>
    <t>House Mullendore</t>
  </si>
  <si>
    <t>A green wheel on a yellow field</t>
  </si>
  <si>
    <t>Lord of the Uplands</t>
  </si>
  <si>
    <t>Reach house. Loyal vassals to House Tyrell.</t>
  </si>
  <si>
    <t>Small house in Reach.</t>
  </si>
  <si>
    <t>https://awoiaf.westeros.org/index.php/House_Mullendore</t>
  </si>
  <si>
    <t>House Caswell</t>
  </si>
  <si>
    <t>A green serpent on a white field</t>
  </si>
  <si>
    <t>bitterridge</t>
  </si>
  <si>
    <t>Lord of Bitterridge</t>
  </si>
  <si>
    <t>House with Reach traditions.</t>
  </si>
  <si>
    <t>https://awoiaf.westeros.org/index.php/House_Caswell</t>
  </si>
  <si>
    <t>House Fossoway of Cider Hall</t>
  </si>
  <si>
    <t>A red apple on a green field</t>
  </si>
  <si>
    <t>Lord of Cider Hall</t>
  </si>
  <si>
    <t>Apple orchards: +1 trade</t>
  </si>
  <si>
    <t>Reach house. Known for apple orchards and cider production.</t>
  </si>
  <si>
    <t>House famous for orchard holdings.</t>
  </si>
  <si>
    <t>https://awoiaf.westeros.org/index.php/House_Fossoway_Of_Cider_Hall</t>
  </si>
  <si>
    <t>house_bulwer</t>
  </si>
  <si>
    <t>House Bulwer</t>
  </si>
  <si>
    <t>A green tree on a brown field</t>
  </si>
  <si>
    <t>blackcrown</t>
  </si>
  <si>
    <t>Lord of Blackcrown</t>
  </si>
  <si>
    <t>Small Reach family.</t>
  </si>
  <si>
    <t>https://awoiaf.westeros.org/index.php/House_Bulwer</t>
  </si>
  <si>
    <t>house_meadows</t>
  </si>
  <si>
    <t>House Meadows</t>
  </si>
  <si>
    <t>A yellow buttercup on a green field</t>
  </si>
  <si>
    <t>greyshield</t>
  </si>
  <si>
    <t>Lord of Greyshield</t>
  </si>
  <si>
    <t>Reach house. Loyal to House Tyrell.</t>
  </si>
  <si>
    <t>House with modest holdings in the Reach.</t>
  </si>
  <si>
    <t>https://awoiaf.westeros.org/index.php/House_Meadows</t>
  </si>
  <si>
    <t>house_baratheon_dragonstone</t>
  </si>
  <si>
    <t>House Baratheon of Dragonstone</t>
  </si>
  <si>
    <t>Stannis Baratheon</t>
  </si>
  <si>
    <t>Lord of Dragonstone</t>
  </si>
  <si>
    <t>Shireen Baratheon</t>
  </si>
  <si>
    <t>Stannis Baratheon, Shireen Baratheon</t>
  </si>
  <si>
    <t>Dragonstone fortress: +1 defense</t>
  </si>
  <si>
    <t>Baratheon branch at Dragonstone. Stannis claims rightful kingship. Followers of Red God.</t>
  </si>
  <si>
    <t>Stannis claimed throne after Robert. Devoted to R'hllor.</t>
  </si>
  <si>
    <t>https://awoiaf.westeros.org/index.php/House_Baratheon_Of_Dragonstone</t>
  </si>
  <si>
    <t>House Swann</t>
  </si>
  <si>
    <t>A white swan on a red field</t>
  </si>
  <si>
    <t>Lord of Stonehelm</t>
  </si>
  <si>
    <t>house_baratheon, house_tyrell</t>
  </si>
  <si>
    <t>Stormlands house. Loyal bannermen to House Baratheon.</t>
  </si>
  <si>
    <t>House of knights.</t>
  </si>
  <si>
    <t>https://awoiaf.westeros.org/index.php/House_Swann</t>
  </si>
  <si>
    <t>House Tarth</t>
  </si>
  <si>
    <t>A white star on a pink field</t>
  </si>
  <si>
    <t>Lord of Evenfall</t>
  </si>
  <si>
    <t>Brienne Tarth</t>
  </si>
  <si>
    <t>Selwyn Tarth, Brienne Tarth</t>
  </si>
  <si>
    <t>Stormlands house from the island of Tarth. Known for beautiful women and skilled warriors.</t>
  </si>
  <si>
    <t>Tarth has unique culture and beauty.</t>
  </si>
  <si>
    <t>https://awoiaf.westeros.org/index.php/House_Tarth</t>
  </si>
  <si>
    <t>House Dondarrion</t>
  </si>
  <si>
    <t>A purple lightning bolt on a black field</t>
  </si>
  <si>
    <t>Lord of Blackhaven</t>
  </si>
  <si>
    <t>house_baratheon, house_stark</t>
  </si>
  <si>
    <t>Lightning lord: undead resurrection</t>
  </si>
  <si>
    <t>Stormlands house from Blackhaven in Dornish Marches. Beric Dondarrion rose from dead multiple times.</t>
  </si>
  <si>
    <t>Beric mysteriously resurrected. Led outlaw bands.</t>
  </si>
  <si>
    <t>https://awoiaf.westeros.org/index.php/House_Dondarrion</t>
  </si>
  <si>
    <t>House Selmy</t>
  </si>
  <si>
    <t>A silver stag on a blue field</t>
  </si>
  <si>
    <t>Lord of Harvest Hall</t>
  </si>
  <si>
    <t>Stormlands house. Bannermen to House Baratheon.</t>
  </si>
  <si>
    <t>House of loyal knights.</t>
  </si>
  <si>
    <t>https://awoiaf.westeros.org/index.php/House_Selmy</t>
  </si>
  <si>
    <t>House Caron</t>
  </si>
  <si>
    <t>Three purple stars on a gold field</t>
  </si>
  <si>
    <t>Lord of Nightsong</t>
  </si>
  <si>
    <t>Stormlands house from Nightsong in Dornish Marches. Loyal to House Baratheon.</t>
  </si>
  <si>
    <t>Marcher house protecting against Dornish incursions.</t>
  </si>
  <si>
    <t>https://awoiaf.westeros.org/index.php/House_Caron</t>
  </si>
  <si>
    <t>House Penrose</t>
  </si>
  <si>
    <t>A green phoenix on a red field</t>
  </si>
  <si>
    <t>Lord of Parchments</t>
  </si>
  <si>
    <t>Small house in Stormlands.</t>
  </si>
  <si>
    <t>https://awoiaf.westeros.org/index.php/House_Penrose</t>
  </si>
  <si>
    <t>house_estermont</t>
  </si>
  <si>
    <t>House Estermont</t>
  </si>
  <si>
    <t>A green turtle on a blue field</t>
  </si>
  <si>
    <t>estermont</t>
  </si>
  <si>
    <t>Ardrian Celtigar</t>
  </si>
  <si>
    <t>Lord of Estermont</t>
  </si>
  <si>
    <t>Island castle: naval defense</t>
  </si>
  <si>
    <t>Stormlands house from island of Estermont. Coastal defenders.</t>
  </si>
  <si>
    <t>Island location provides naval advantage.</t>
  </si>
  <si>
    <t>https://awoiaf.westeros.org/index.php/House_Estermont</t>
  </si>
  <si>
    <t>House Connington</t>
  </si>
  <si>
    <t>A white griffin on a red field</t>
  </si>
  <si>
    <t>griffin_roost</t>
  </si>
  <si>
    <t>Lord of Griffin's Roost</t>
  </si>
  <si>
    <t>Griffin symbol: +1 prestige</t>
  </si>
  <si>
    <t>Stormlands house. Loyal bannermen to House Baratheon. Ancient house.</t>
  </si>
  <si>
    <t>House with proud warrior tradition.</t>
  </si>
  <si>
    <t>https://awoiaf.westeros.org/index.php/House_Connington</t>
  </si>
  <si>
    <t>house_errol</t>
  </si>
  <si>
    <t>House Errol</t>
  </si>
  <si>
    <t>A gold star on a blue field</t>
  </si>
  <si>
    <t>House in Stormlands.</t>
  </si>
  <si>
    <t>https://awoiaf.westeros.org/index.php/House_Errol</t>
  </si>
  <si>
    <t>House Fell</t>
  </si>
  <si>
    <t>A black axe on a grey field</t>
  </si>
  <si>
    <t>Lord of Felwood</t>
  </si>
  <si>
    <t>Stormlands house. Loyal to House Baratheon.</t>
  </si>
  <si>
    <t>https://awoiaf.westeros.org/index.php/House_Fell</t>
  </si>
  <si>
    <t>House Buckler</t>
  </si>
  <si>
    <t>A blue shield on a gold field</t>
  </si>
  <si>
    <t>Lord of Bronzegate</t>
  </si>
  <si>
    <t>Buckler shield symbol: +1 defense</t>
  </si>
  <si>
    <t>House in Stormlands with shield traditions.</t>
  </si>
  <si>
    <t>https://awoiaf.westeros.org/index.php/House_Buckler</t>
  </si>
  <si>
    <t>House Yronwood</t>
  </si>
  <si>
    <t>A red sun pierced by a gold lance on a white field</t>
  </si>
  <si>
    <t>We Guard the Way</t>
  </si>
  <si>
    <t>Lord of Yronwood</t>
  </si>
  <si>
    <t>Boneway guard: controls southern pass</t>
  </si>
  <si>
    <t>Ancient Dornish house. Controls Boneway, one of only two entries to Dorne. Honored protectors.</t>
  </si>
  <si>
    <t>Yronwoods are ancient family. Guards Boneway pass.</t>
  </si>
  <si>
    <t>https://awoiaf.westeros.org/index.php/House_Yronwood</t>
  </si>
  <si>
    <t>House Dayne</t>
  </si>
  <si>
    <t>A white sword on a purple field</t>
  </si>
  <si>
    <t>We Are the Sword of the Morning</t>
  </si>
  <si>
    <t>Lord of Starfall</t>
  </si>
  <si>
    <t>Dawn (white Valyrian steel sword)</t>
  </si>
  <si>
    <t>Sword of the Morning: legendary warrior</t>
  </si>
  <si>
    <t>Noble Dornish house. Keeper of legendary sword Dawn. Ancient lineage of legendary warriors.</t>
  </si>
  <si>
    <t>Arthur Dayne was Sword of the Morning. Rhaegar's closest friend.</t>
  </si>
  <si>
    <t>https://awoiaf.westeros.org/index.php/House_Dayne</t>
  </si>
  <si>
    <t>House Fowler</t>
  </si>
  <si>
    <t>Three red falcons on a white field</t>
  </si>
  <si>
    <t>Lord of Skyreach</t>
  </si>
  <si>
    <t>Mountain fortress: high altitude defense</t>
  </si>
  <si>
    <t>Dornish house from mountain fortress Skyreach. Controls Princes Pass.</t>
  </si>
  <si>
    <t>Guards Princes Pass, other major Dornish entry point.</t>
  </si>
  <si>
    <t>https://awoiaf.westeros.org/index.php/House_Fowler</t>
  </si>
  <si>
    <t>House Uller</t>
  </si>
  <si>
    <t>A red scorpion on a white field</t>
  </si>
  <si>
    <t>Lord of Hellholt</t>
  </si>
  <si>
    <t>Desert mastery: +1 desert defenses</t>
  </si>
  <si>
    <t>Dornish house from Hellholt in the deep desert. Known for desert survival.</t>
  </si>
  <si>
    <t>Controls remote desert location.</t>
  </si>
  <si>
    <t>https://awoiaf.westeros.org/index.php/House_Uller</t>
  </si>
  <si>
    <t>House Blackmont</t>
  </si>
  <si>
    <t>A black eagle on a white field</t>
  </si>
  <si>
    <t>Lord of Blackmont</t>
  </si>
  <si>
    <t>Dornish house. Loyal bannermen to House Martell.</t>
  </si>
  <si>
    <t>House in southern Dorne.</t>
  </si>
  <si>
    <t>https://awoiaf.westeros.org/index.php/House_Blackmont</t>
  </si>
  <si>
    <t>House Allyrion</t>
  </si>
  <si>
    <t>A golden hand on a red field</t>
  </si>
  <si>
    <t>Lord of Godsgrace</t>
  </si>
  <si>
    <t>Dornish house. Bannermen to House Martell.</t>
  </si>
  <si>
    <t>House in Dorne.</t>
  </si>
  <si>
    <t>https://awoiaf.westeros.org/index.php/House_Allyrion</t>
  </si>
  <si>
    <t>House Jordayne</t>
  </si>
  <si>
    <t>A gold sand dollar on a red field</t>
  </si>
  <si>
    <t>Let It Be Written</t>
  </si>
  <si>
    <t>Lady of the Tor</t>
  </si>
  <si>
    <t>Dornish house. Known for learning and culture.</t>
  </si>
  <si>
    <t>House with scholarly traditions.</t>
  </si>
  <si>
    <t>https://awoiaf.westeros.org/index.php/House_Jordayne</t>
  </si>
  <si>
    <t>House Manwoody</t>
  </si>
  <si>
    <t>A yellow and black checkered field</t>
  </si>
  <si>
    <t>Lord of Kingsgrave</t>
  </si>
  <si>
    <t>Dornish house. Loyal to House Martell.</t>
  </si>
  <si>
    <t>Small Dornish family.</t>
  </si>
  <si>
    <t>https://awoiaf.westeros.org/index.php/House_Manwoody</t>
  </si>
  <si>
    <t>House Toland</t>
  </si>
  <si>
    <t>A golden lion on a red field</t>
  </si>
  <si>
    <t>Lord of Ghost Hill</t>
  </si>
  <si>
    <t>https://awoiaf.westeros.org/index.php/House_Toland</t>
  </si>
  <si>
    <t>House Qorgyle</t>
  </si>
  <si>
    <t>A golden scorpion on a red field</t>
  </si>
  <si>
    <t>Lord of Sandstone</t>
  </si>
  <si>
    <t>Scorpion symbol: poison tradition</t>
  </si>
  <si>
    <t>Dornish house. Known for poison weapons. Bannermen to House Martell.</t>
  </si>
  <si>
    <t>House with poison tradition.</t>
  </si>
  <si>
    <t>https://awoiaf.westeros.org/index.php/House_Qorgyle</t>
  </si>
  <si>
    <t>House Vaith</t>
  </si>
  <si>
    <t>A purple and white checkered field</t>
  </si>
  <si>
    <t>Lord of Vaith</t>
  </si>
  <si>
    <t>https://awoiaf.westeros.org/index.php/House_Vaith</t>
  </si>
  <si>
    <t>House Wyl</t>
  </si>
  <si>
    <t>A red and gold field</t>
  </si>
  <si>
    <t>Lord of Wyl</t>
  </si>
  <si>
    <t>https://awoiaf.westeros.org/index.php/House_Wyl</t>
  </si>
  <si>
    <t>House Gargalen</t>
  </si>
  <si>
    <t>A grey gargoyle on a white field</t>
  </si>
  <si>
    <t>Lord of Salt Shore</t>
  </si>
  <si>
    <t>Coastal location: +1 trade</t>
  </si>
  <si>
    <t>Dornish house. Coastal position. Bannermen to House Martell.</t>
  </si>
  <si>
    <t>House with maritime traditions.</t>
  </si>
  <si>
    <t>https://awoiaf.westeros.org/index.php/House_Gargalen</t>
  </si>
  <si>
    <t>House Royce</t>
  </si>
  <si>
    <t>A steel rune on a bronze field</t>
  </si>
  <si>
    <t>We Remember</t>
  </si>
  <si>
    <t>Lord of Runestone</t>
  </si>
  <si>
    <t>Andar Royce</t>
  </si>
  <si>
    <t>Yohn Royce, Andar Royce</t>
  </si>
  <si>
    <t>house_arryn, house_stark</t>
  </si>
  <si>
    <t>Ancient bloodline: First Men descent</t>
  </si>
  <si>
    <t>Ancient Vale house descended from First Men. Proud, honorable warriors. Bronze armor tradition.</t>
  </si>
  <si>
    <t>One of oldest houses. Bronze armor from Age of Heroes.</t>
  </si>
  <si>
    <t>https://awoiaf.westeros.org/index.php/House_Royce</t>
  </si>
  <si>
    <t>house_waynwood</t>
  </si>
  <si>
    <t>House Waynwood</t>
  </si>
  <si>
    <t>A blue trident on a green field</t>
  </si>
  <si>
    <t>True as Steel</t>
  </si>
  <si>
    <t>waynwood</t>
  </si>
  <si>
    <t>Jaspet Waynwood</t>
  </si>
  <si>
    <t>Lord of Waynwood</t>
  </si>
  <si>
    <t>Vale house. Loyal bannermen to House Arryn. Known for reliability.</t>
  </si>
  <si>
    <t>House of steadfast loyalists.</t>
  </si>
  <si>
    <t>https://awoiaf.westeros.org/index.php/House_Waynwood</t>
  </si>
  <si>
    <t>house_corbray</t>
  </si>
  <si>
    <t>House Corbray</t>
  </si>
  <si>
    <t>A white raven on a black field</t>
  </si>
  <si>
    <t>heart_of_the_vale</t>
  </si>
  <si>
    <t>Lyonel Corbray</t>
  </si>
  <si>
    <t>Lord of Heart of the Vale</t>
  </si>
  <si>
    <t>Ser Lyn Corbray</t>
  </si>
  <si>
    <t>Lady Forlorn (Valyrian steel sword)</t>
  </si>
  <si>
    <t>Lyonel Corbray, Ser Lyn Corbray</t>
  </si>
  <si>
    <t>Valyrian steel: Lady Forlorn</t>
  </si>
  <si>
    <t>Vale house keeper of Valyrian sword Lady Forlorn. Proud martial tradition.</t>
  </si>
  <si>
    <t>Possessors of Valyrian steel from before Conquest.</t>
  </si>
  <si>
    <t>https://awoiaf.westeros.org/index.php/House_Corbray</t>
  </si>
  <si>
    <t>House Hunter</t>
  </si>
  <si>
    <t>A green manticore on a white field</t>
  </si>
  <si>
    <t>Lord of Longbow Hall</t>
  </si>
  <si>
    <t>Vale house. Loyal to House Arryn.</t>
  </si>
  <si>
    <t>House with traditions of hunting and archery.</t>
  </si>
  <si>
    <t>https://awoiaf.westeros.org/index.php/House_Hunter</t>
  </si>
  <si>
    <t>House Redfort</t>
  </si>
  <si>
    <t>Three red towers on a blue field</t>
  </si>
  <si>
    <t>Lord of Redfort</t>
  </si>
  <si>
    <t>Vale house from Redfort. Loyal bannermen to House Arryn.</t>
  </si>
  <si>
    <t>House of red towers in the Vale.</t>
  </si>
  <si>
    <t>https://awoiaf.westeros.org/index.php/House_Redfort</t>
  </si>
  <si>
    <t>House Belmore</t>
  </si>
  <si>
    <t>A gold bell on a blue field</t>
  </si>
  <si>
    <t>Lord of Strongsong</t>
  </si>
  <si>
    <t>Vale house. Bannermen to House Arryn.</t>
  </si>
  <si>
    <t>House in the Vale.</t>
  </si>
  <si>
    <t>https://awoiaf.westeros.org/index.php/House_Belmore</t>
  </si>
  <si>
    <t>house_grafton</t>
  </si>
  <si>
    <t>House Grafton</t>
  </si>
  <si>
    <t>Three yellow circles on a purple field</t>
  </si>
  <si>
    <t>gulltown</t>
  </si>
  <si>
    <t>Lord of Gulltown</t>
  </si>
  <si>
    <t>Port control: trade access</t>
  </si>
  <si>
    <t>Vale house. Controls Gulltown, major port. Trade access for the Vale.</t>
  </si>
  <si>
    <t>Controls only major port of the Vale.</t>
  </si>
  <si>
    <t>https://awoiaf.westeros.org/index.php/House_Grafton</t>
  </si>
  <si>
    <t>House Coldwater</t>
  </si>
  <si>
    <t>A blue water droplet on a grey field</t>
  </si>
  <si>
    <t>Lord of Coldwater Burn</t>
  </si>
  <si>
    <t>Small house in the Vale.</t>
  </si>
  <si>
    <t>https://awoiaf.westeros.org/index.php/House_Coldwater</t>
  </si>
  <si>
    <t>House Lynderly</t>
  </si>
  <si>
    <t>A blue linden tree on a white field</t>
  </si>
  <si>
    <t>Lord of Snakewood</t>
  </si>
  <si>
    <t>https://awoiaf.westeros.org/index.php/House_Lynderly</t>
  </si>
  <si>
    <t>house_baelish</t>
  </si>
  <si>
    <t>House Baelish</t>
  </si>
  <si>
    <t>A dark mockingbird on a white field</t>
  </si>
  <si>
    <t>Petyr Baelish</t>
  </si>
  <si>
    <t>Lord of Harrenhal (disputed)</t>
  </si>
  <si>
    <t>house_lannister, house_baratheon</t>
  </si>
  <si>
    <t>Master of coin: +2 gold</t>
  </si>
  <si>
    <t>Vale house. Petyr Baelish recently granted Harrenhal. Master of Coin. Ambitious schemer.</t>
  </si>
  <si>
    <t>Littlefinger rose from minor house to power. Orchestrates political schemes.</t>
  </si>
  <si>
    <t>https://awoiaf.westeros.org/index.php/House_Baelish</t>
  </si>
  <si>
    <t>House Harlaw</t>
  </si>
  <si>
    <t>A silver scythe on a black field</t>
  </si>
  <si>
    <t>The Reader</t>
  </si>
  <si>
    <t>harlaw_castle</t>
  </si>
  <si>
    <t>Lord of Harlaw</t>
  </si>
  <si>
    <t>Rodrik Harlaw the Younger</t>
  </si>
  <si>
    <t>Rodrik Harlaw, Rodrik Harlaw the Younger</t>
  </si>
  <si>
    <t>Scholarly tradition: +1 knowledge</t>
  </si>
  <si>
    <t>Iron Islands house from Harlaw. Known for learning and culture among ironborn. The Old Wyk.</t>
  </si>
  <si>
    <t>Harlaw island has unique scholarly tradition. Rodrik Harlaw is called "the Reader."</t>
  </si>
  <si>
    <t>https://awoiaf.westeros.org/index.php/House_Harlaw</t>
  </si>
  <si>
    <t>House Blacktyde</t>
  </si>
  <si>
    <t>A black wave on a grey field</t>
  </si>
  <si>
    <t>blacktyde_castle</t>
  </si>
  <si>
    <t>Lord of Blacktyde</t>
  </si>
  <si>
    <t>Naval tradition: +1 sea forces</t>
  </si>
  <si>
    <t>Iron Islands house. Naval traditions. Raiding culture.</t>
  </si>
  <si>
    <t>House with strong naval heritage.</t>
  </si>
  <si>
    <t>https://awoiaf.westeros.org/index.php/House_Blacktyde</t>
  </si>
  <si>
    <t>house_goodbrother</t>
  </si>
  <si>
    <t>House Goodbrother</t>
  </si>
  <si>
    <t>A purple kraken on a yellow field</t>
  </si>
  <si>
    <t>goodbrothers_keep</t>
  </si>
  <si>
    <t>Lord of Goodbrother's Keep</t>
  </si>
  <si>
    <t>Iron Islands house. Ironborn raiders. Loyal to House Greyjoy.</t>
  </si>
  <si>
    <t>House of fierce ironborn warriors.</t>
  </si>
  <si>
    <t>https://awoiaf.westeros.org/index.php/House_Goodbrother</t>
  </si>
  <si>
    <t>house_drumm</t>
  </si>
  <si>
    <t>House Drumm</t>
  </si>
  <si>
    <t>A black drum on a white field</t>
  </si>
  <si>
    <t>old_wyk</t>
  </si>
  <si>
    <t>Lord of Old Wyk</t>
  </si>
  <si>
    <t>Ancient seat: +1 prestige</t>
  </si>
  <si>
    <t>Iron Islands house from Old Wyk. One of oldest ironborn settlements.</t>
  </si>
  <si>
    <t>Old Wyk is ancient ironborn sanctuary.</t>
  </si>
  <si>
    <t>https://awoiaf.westeros.org/index.php/House_Drumm</t>
  </si>
  <si>
    <t>House Botley</t>
  </si>
  <si>
    <t>A blue trident on a brown field</t>
  </si>
  <si>
    <t>Lord of Lordsport</t>
  </si>
  <si>
    <t>Port control: +1 trade</t>
  </si>
  <si>
    <t>Iron Islands house controlling Lordsport. Trade access.</t>
  </si>
  <si>
    <t>Controls Pyke's main port.</t>
  </si>
  <si>
    <t>https://awoiaf.westeros.org/index.php/House_Botley</t>
  </si>
  <si>
    <t>house_saltcliffe</t>
  </si>
  <si>
    <t>House Saltcliffe</t>
  </si>
  <si>
    <t>A blue trident on a white field</t>
  </si>
  <si>
    <t>saltcliffe</t>
  </si>
  <si>
    <t>Lord of Saltcliffe</t>
  </si>
  <si>
    <t>Iron Islands house. Naval tradition. Bannermen to House Greyjoy.</t>
  </si>
  <si>
    <t>Ironborn house with sea traditions.</t>
  </si>
  <si>
    <t>https://awoiaf.westeros.org/index.php/House_Saltcliffe</t>
  </si>
  <si>
    <t>house_stonetree</t>
  </si>
  <si>
    <t>House Stonetree</t>
  </si>
  <si>
    <t>A green stone tree on a grey field</t>
  </si>
  <si>
    <t>Ancient traditions: +1 prestige</t>
  </si>
  <si>
    <t>Iron Islands house from Old Wyk. Ancient traditions.</t>
  </si>
  <si>
    <t>House from oldest ironborn location.</t>
  </si>
  <si>
    <t>https://awoiaf.westeros.org/index.php/House_Stonetree</t>
  </si>
  <si>
    <t>house_farwynd</t>
  </si>
  <si>
    <t>House Farwynd</t>
  </si>
  <si>
    <t>A blue seal on a white field</t>
  </si>
  <si>
    <t>We Do Not Kneel</t>
  </si>
  <si>
    <t>Lord of Lonely Light</t>
  </si>
  <si>
    <t>Remote island: isolation bonus</t>
  </si>
  <si>
    <t>Iron Islands house from Lonely Light, most isolated ironborn settlement. Proud words.</t>
  </si>
  <si>
    <t>House from most remote iron islands.</t>
  </si>
  <si>
    <t>https://awoiaf.westeros.org/index.php/House_Farwynd</t>
  </si>
  <si>
    <t>House Volmark</t>
  </si>
  <si>
    <t>A gold trident on a black field</t>
  </si>
  <si>
    <t>great_wyk</t>
  </si>
  <si>
    <t>Lord of Great Wyk</t>
  </si>
  <si>
    <t>Iron Islands house from Great Wyk. Loyal to House Greyjoy.</t>
  </si>
  <si>
    <t>House from major iron island.</t>
  </si>
  <si>
    <t>https://awoiaf.westeros.org/index.php/House_Volmark</t>
  </si>
  <si>
    <t>House Wynch</t>
  </si>
  <si>
    <t>A white falcon on a red field</t>
  </si>
  <si>
    <t>Lord of Iron Holt</t>
  </si>
  <si>
    <t>Iron Islands house. Ironborn warriors. Loyal to House Greyjoy.</t>
  </si>
  <si>
    <t>House with ironborn traditions.</t>
  </si>
  <si>
    <t>https://awoiaf.westeros.org/index.php/House_Wynch</t>
  </si>
  <si>
    <t>House Velaryon</t>
  </si>
  <si>
    <t>A silver seahorse on a blue field</t>
  </si>
  <si>
    <t>The Old, the True, the Brave</t>
  </si>
  <si>
    <t>Lord of Driftmark</t>
  </si>
  <si>
    <t>Monford Velaryon</t>
  </si>
  <si>
    <t>Monterys Velaryon, Monford Velaryon</t>
  </si>
  <si>
    <t>Naval power: strong fleet</t>
  </si>
  <si>
    <t>Powerful Crownlands house from Driftmark. Ancient Valyrian bloodline. Naval strength.</t>
  </si>
  <si>
    <t>Old Valyrian family. Supported Targaryens. Naval dominance.</t>
  </si>
  <si>
    <t>https://awoiaf.westeros.org/index.php/House_Velaryon</t>
  </si>
  <si>
    <t>house_celtigar</t>
  </si>
  <si>
    <t>House Celtigar</t>
  </si>
  <si>
    <t>A red crab on a white field</t>
  </si>
  <si>
    <t>claw_isle</t>
  </si>
  <si>
    <t>Lord of Claw Isle</t>
  </si>
  <si>
    <t>Island seat: naval strength</t>
  </si>
  <si>
    <t>Crownlands house from island of Claw Isle. Maritime traditions.</t>
  </si>
  <si>
    <t>Island location provides naval advantages.</t>
  </si>
  <si>
    <t>https://awoiaf.westeros.org/index.php/House_Celtigar</t>
  </si>
  <si>
    <t>House Rosby</t>
  </si>
  <si>
    <t>A white horse rearing on a blue field</t>
  </si>
  <si>
    <t>Lord of Rosby</t>
  </si>
  <si>
    <t>Crownlands house. Loyal bannermen to House Baratheon.</t>
  </si>
  <si>
    <t>House near King's Landing.</t>
  </si>
  <si>
    <t>https://awoiaf.westeros.org/index.php/House_Rosby</t>
  </si>
  <si>
    <t>House Stokeworth</t>
  </si>
  <si>
    <t>Three crowned storks on a white field</t>
  </si>
  <si>
    <t>Lord of Stokeworth</t>
  </si>
  <si>
    <t>Minor house near King's Landing.</t>
  </si>
  <si>
    <t>https://awoiaf.westeros.org/index.php/House_Stokeworth</t>
  </si>
  <si>
    <t>House Hayford</t>
  </si>
  <si>
    <t>A green hay fork on a yellow field</t>
  </si>
  <si>
    <t>hayford_castle</t>
  </si>
  <si>
    <t>Lord of Hayford</t>
  </si>
  <si>
    <t>Crownlands house. Bannermen to King's Landing.</t>
  </si>
  <si>
    <t>https://awoiaf.westeros.org/index.php/House_Hayford</t>
  </si>
  <si>
    <t>House Massey</t>
  </si>
  <si>
    <t>A grey tower on a white field</t>
  </si>
  <si>
    <t>Lord of Stonedance</t>
  </si>
  <si>
    <t>Crownlands house. Loyal to House Baratheon.</t>
  </si>
  <si>
    <t>House in Crownlands.</t>
  </si>
  <si>
    <t>https://awoiaf.westeros.org/index.php/House_Massey</t>
  </si>
  <si>
    <t>house_staunton</t>
  </si>
  <si>
    <t>House Staunton</t>
  </si>
  <si>
    <t>A silver stag on a green field</t>
  </si>
  <si>
    <t>rosefire</t>
  </si>
  <si>
    <t>Lord of Rosefire</t>
  </si>
  <si>
    <t>https://awoiaf.westeros.org/index.php/House_Staunton</t>
  </si>
  <si>
    <t>house_buckwell</t>
  </si>
  <si>
    <t>House Buckwell</t>
  </si>
  <si>
    <t>A gold stag on a brown field</t>
  </si>
  <si>
    <t>bucklemark</t>
  </si>
  <si>
    <t>Lord of Bucklemark</t>
  </si>
  <si>
    <t>Small house near King's Landing.</t>
  </si>
  <si>
    <t>https://awoiaf.westeros.org/index.php/House_Buckwell</t>
  </si>
  <si>
    <t>House Bar Emmon</t>
  </si>
  <si>
    <t>Lord of Sharp Point</t>
  </si>
  <si>
    <t>Minor house in Crownlands.</t>
  </si>
  <si>
    <t>https://awoiaf.westeros.org/index.php/House_Bar_Emmon</t>
  </si>
  <si>
    <t>House Sunglass</t>
  </si>
  <si>
    <t>A gold sun on a red field</t>
  </si>
  <si>
    <t>Lord of Sweetport Sound</t>
  </si>
  <si>
    <t>Port access: trade bonus</t>
  </si>
  <si>
    <t>Crownlands house. Coastal positions. Maritime traditions.</t>
  </si>
  <si>
    <t>House with port holdings in Crownlands.</t>
  </si>
  <si>
    <t>https://awoiaf.westeros.org/index.php/House_Sunglass</t>
  </si>
  <si>
    <t>HOUSE DATA COLLECTION PROGRESS</t>
  </si>
  <si>
    <t>WESTEROS REGIONS DATA COLLECTION</t>
  </si>
  <si>
    <t>9 rows -- one per region. Each region page has Geography / Seasons / People / Economy / Military / History / Houses sections.</t>
  </si>
  <si>
    <t>WHAT TO DO</t>
  </si>
  <si>
    <t>Go to the 🗺️ Region Data sheet</t>
  </si>
  <si>
    <t>Click the wiki_url link for the region (last column)</t>
  </si>
  <si>
    <t>Work through each section of the wiki page filling in the columns below</t>
  </si>
  <si>
    <t>Mark status COMPLETE when all key fields are filled</t>
  </si>
  <si>
    <t>WIKI PAGE STRUCTURE</t>
  </si>
  <si>
    <t>Geography section</t>
  </si>
  <si>
    <t>Fill: terrain types, major rivers, major roads, coastline status, geographic barriers, island names (if any)</t>
  </si>
  <si>
    <t>Seasons section</t>
  </si>
  <si>
    <t>Fill: climate_baseline, winter_severity_notes. Note any unique seasonal mechanics.</t>
  </si>
  <si>
    <t>People section</t>
  </si>
  <si>
    <t>Fill: cultural_identity, subcultures, religion, bastard_surname, unique_customs</t>
  </si>
  <si>
    <t>Economy section</t>
  </si>
  <si>
    <t>Fill: key_resources, trade_goods, major_ports, economic_notes</t>
  </si>
  <si>
    <t>Military strength section</t>
  </si>
  <si>
    <t>Fill: military_size_estimate, military_notes, cavalry_vs_infantry, fleet_strength</t>
  </si>
  <si>
    <t>History section</t>
  </si>
  <si>
    <t>Fill: historical_enemies, notable_history. Look for ancient rivalries and wars.</t>
  </si>
  <si>
    <t>Houses section</t>
  </si>
  <si>
    <t>Fill: great_house, notable_bannermen (top 5-6 most important). List is at bottom of page.</t>
  </si>
  <si>
    <t>region_name</t>
  </si>
  <si>
    <t>Auto-filled.</t>
  </si>
  <si>
    <t>great_house</t>
  </si>
  <si>
    <t>The ruling Great House. e.g. house_stark</t>
  </si>
  <si>
    <t>ancient_title</t>
  </si>
  <si>
    <t>King title before Aegon's Conquest. Usually in intro paragraph.</t>
  </si>
  <si>
    <t>victory_title</t>
  </si>
  <si>
    <t>What the winning player is called. Derived from ancient_title.</t>
  </si>
  <si>
    <t>cultural_identity</t>
  </si>
  <si>
    <t>From People section. e.g. Northmen, Ironborn, Dornishmen, Reachmen</t>
  </si>
  <si>
    <t>subcultures</t>
  </si>
  <si>
    <t>Notable sub-groups. e.g. Crannogmen, Mountain Clans, Skagosi for North. Comma-separated.</t>
  </si>
  <si>
    <t>bastard_surname</t>
  </si>
  <si>
    <t>Regional bastard surname. e.g. Snow (North), Sand (Dorne), Storm (Stormlands), Flowers (Reach), Rivers (Riverlands), Stone (Vale), Hill (Westerlands), Pyke (Iron Islands), Waters (Crownlands)</t>
  </si>
  <si>
    <t>primary_religion</t>
  </si>
  <si>
    <t>Dominant religion. Options: faith_of_the_seven / old_gods / drowned_god / rhlor / unknown</t>
  </si>
  <si>
    <t>secondary_religion</t>
  </si>
  <si>
    <t>Any significant secondary faith. Often faith_of_the_seven where old_gods is primary.</t>
  </si>
  <si>
    <t>dominant_terrain</t>
  </si>
  <si>
    <t>Main terrain type: plains / forest / mountains / coast / island / river / swamp / desert / tundra</t>
  </si>
  <si>
    <t>secondary_terrain</t>
  </si>
  <si>
    <t>Second terrain type if notable</t>
  </si>
  <si>
    <t>climate_baseline</t>
  </si>
  <si>
    <t>Winter attrition multiplier: 0.5=mild (Dorne), 1.0=normal, 1.5=harsh (North), 2.0=severe (far North)</t>
  </si>
  <si>
    <t>winter_severity_notes</t>
  </si>
  <si>
    <t>Specific notes on how winters affect this region. e.g. 'North: snows 40 feet deep, widespread famine'</t>
  </si>
  <si>
    <t>has_coastline</t>
  </si>
  <si>
    <t>YES if region borders navigable sea. Allows fleet connections.</t>
  </si>
  <si>
    <t>major_rivers</t>
  </si>
  <si>
    <t>Named rivers from Geography section. Comma-separated. e.g. White Knife, Fever River</t>
  </si>
  <si>
    <t>major_roads</t>
  </si>
  <si>
    <t>Named roads. e.g. King's Road, Rose Road, Gold Road, High Road</t>
  </si>
  <si>
    <t>geographic_barriers</t>
  </si>
  <si>
    <t>Natural barriers controlling entry/exit. e.g. The Neck (North), Mountain passes (Vale), Desert (Dorne)</t>
  </si>
  <si>
    <t>island_names</t>
  </si>
  <si>
    <t>Any notable islands in or near the region. e.g. Bear Island, Skagos for North</t>
  </si>
  <si>
    <t>key_resources</t>
  </si>
  <si>
    <t>Economic exports from Economy section. e.g. wool, hides, timber (North)</t>
  </si>
  <si>
    <t>trade_goods</t>
  </si>
  <si>
    <t>Specific trade items mentioned. e.g. wool, hides, timber, fish, horses, grain, gold</t>
  </si>
  <si>
    <t>major_ports</t>
  </si>
  <si>
    <t>Named port towns or cities. e.g. White Harbor (North), Oldtown (Reach)</t>
  </si>
  <si>
    <t>economic_notes</t>
  </si>
  <si>
    <t>Any unique economic details. e.g. North: 'few roads, most trade via King's Road or rivers'</t>
  </si>
  <si>
    <t>military_size_estimate</t>
  </si>
  <si>
    <t>From Military section. e.g. '~45,000 maximum, ~20,000 on short notice' for North</t>
  </si>
  <si>
    <t>cavalry_vs_infantry</t>
  </si>
  <si>
    <t>Ratio if given. e.g. '4:1 infantry to cavalry' for North</t>
  </si>
  <si>
    <t>fleet_strength</t>
  </si>
  <si>
    <t>Naval strength: none / weak / moderate / strong. e.g. North=none (burned by Brandon the Burner)</t>
  </si>
  <si>
    <t>military_notes</t>
  </si>
  <si>
    <t>Key military characteristics. e.g. 'few knights, mostly infantry, very few cavalry'</t>
  </si>
  <si>
    <t>chokepoints</t>
  </si>
  <si>
    <t>Strategic locations controlling movement. e.g. Moat Cailin, Golden Tooth, Bloody Gate, The Twins</t>
  </si>
  <si>
    <t>regional_special_rule</t>
  </si>
  <si>
    <t>One unique game mechanic capturing what makes this region strategically distinct</t>
  </si>
  <si>
    <t>sellsword_culture</t>
  </si>
  <si>
    <t>YES if known for producing mercenaries or sell-swords</t>
  </si>
  <si>
    <t>historical_enemies</t>
  </si>
  <si>
    <t>Regions with recorded wars or rivalries. Comma-separated region names.</t>
  </si>
  <si>
    <t>notable_bannermen</t>
  </si>
  <si>
    <t>Top 5-6 most important sworn houses. Comma-separated. e.g. house_bolton, house_umber for North</t>
  </si>
  <si>
    <t>2-3 sentences from wiki intro paragraph</t>
  </si>
  <si>
    <t>1-2 key historical events. e.g. 'Repelled Andal invasion at Moat Cailin; only kingdom to do so'</t>
  </si>
  <si>
    <t>Auto-filled. Click to visit.</t>
  </si>
  <si>
    <t>PRIORITY NOTES</t>
  </si>
  <si>
    <t>Most important columns</t>
  </si>
  <si>
    <t>cultural_identity, primary_religion, dominant_terrain, major_rivers, major_roads, chokepoints, key_resources, military_size_estimate, fleet_strength, historical_enemies, regional_special_rule</t>
  </si>
  <si>
    <t>Can skip for now</t>
  </si>
  <si>
    <t>winter_severity_notes, trade_goods, cavalry_vs_infantry (fill later for flavor text)</t>
  </si>
  <si>
    <t>North is already done</t>
  </si>
  <si>
    <t>Use the North row as a reference for how detailed other regions should be</t>
  </si>
  <si>
    <t>BASTARD SURNAMES (all regions)</t>
  </si>
  <si>
    <t>Snow</t>
  </si>
  <si>
    <t>Rivers</t>
  </si>
  <si>
    <t>Hill</t>
  </si>
  <si>
    <t>Flowers</t>
  </si>
  <si>
    <t>Storm</t>
  </si>
  <si>
    <t>Sand</t>
  </si>
  <si>
    <t>Stone</t>
  </si>
  <si>
    <t>Waters</t>
  </si>
  <si>
    <t>CULTURE</t>
  </si>
  <si>
    <t>RELIGION</t>
  </si>
  <si>
    <t>TERRAIN</t>
  </si>
  <si>
    <t>ECONOMY</t>
  </si>
  <si>
    <t>MILITARY</t>
  </si>
  <si>
    <t>GAME RULES</t>
  </si>
  <si>
    <t>King in the North / King of Winter</t>
  </si>
  <si>
    <t>King in the North</t>
  </si>
  <si>
    <t>Northmen</t>
  </si>
  <si>
    <t>Crannogmen (House Reed), Mountain Clans (Flint, Norrey, Liddle, Wull, Harclay), Skagosi, Wolfswood Clans</t>
  </si>
  <si>
    <t>Snows can fall 40 feet deep. Widespread famine common. Lords store 1/5 to 1/4 of grain before autumn. Many die each winter.</t>
  </si>
  <si>
    <t>White Knife, Fever River, Last River, Weeping Water, Green Fork (source in Neck)</t>
  </si>
  <si>
    <t>King's Road (Castle Black to Riverlands)</t>
  </si>
  <si>
    <t>The Wall (north), The Neck/Moat Cailin (south), Shivering Sea (east), Sunset Sea (west)</t>
  </si>
  <si>
    <t>Bear Island, Skagos, Skane</t>
  </si>
  <si>
    <t>Timber, wool, hides, fish</t>
  </si>
  <si>
    <t>Wool, hides, timber, fish, furs</t>
  </si>
  <si>
    <t>White Harbor</t>
  </si>
  <si>
    <t>Largely uncultivated, few roads. Most trade via King's Road or rivers. White Harbor has silversmiths and Old Mint.</t>
  </si>
  <si>
    <t>~45,000 maximum; ~20,000 on short notice near autumn</t>
  </si>
  <si>
    <t>4:1 infantry to cavalry. Manderly commands most heavy horse.</t>
  </si>
  <si>
    <t>No naval strength since Brandon the Burner destroyed the fleet. Few knights (Old Gods faith). Mail most common armor. Very few cavalry.</t>
  </si>
  <si>
    <t>Moat Cailin (only southern land entry), Wolf's Den / White Harbor (eastern coast)</t>
  </si>
  <si>
    <t>Armies entering from south must pass Moat Cailin. Controlling it halves enemy march speed into the North. Eyrie-equivalent isolation: The Neck is swamp terrain -- armies crossing without Moat Cailin suffer attrition.</t>
  </si>
  <si>
    <t>Iron Islands, Vale of Arryn (War Across the Water)</t>
  </si>
  <si>
    <t>house_bolton, house_umber, house_manderly, house_karstark, house_mormont, house_glover</t>
  </si>
  <si>
    <t>The largest region of the Seven Kingdoms, ruled by House Stark from Winterfell for thousands of years. Sparsely populated with harsh winters, vast wilderness, and people descended from the First Men who follow the Old Gods.</t>
  </si>
  <si>
    <t>Only kingdom to repel the Andal invasion (held at Moat Cailin). Brandon the Burner destroyed the northern fleet in grief, leaving North without sea power permanently.</t>
  </si>
  <si>
    <t>https://awoiaf.westeros.org/index.php/North</t>
  </si>
  <si>
    <t>King of the Trident</t>
  </si>
  <si>
    <t>Rivermen</t>
  </si>
  <si>
    <t>River lords (Tully, Blackwood, Bracken, Mallister), Crannogmen influences from Neck</t>
  </si>
  <si>
    <t>1.0</t>
  </si>
  <si>
    <t>Moderate winters. Fertile farmland generally survives harsh seasons.</t>
  </si>
  <si>
    <t>Red Fork, Blue Fork, Green Fork, Tumblestone River, Trident</t>
  </si>
  <si>
    <t>King's Road, River Road</t>
  </si>
  <si>
    <t>The Neck (north), rivers form natural barriers throughout region</t>
  </si>
  <si>
    <t>Isle of Swans, scattered islands in the rivers</t>
  </si>
  <si>
    <t>Fertile farmland, fish, river trade, grain</t>
  </si>
  <si>
    <t>Grain, fish, lumber, agricultural products</t>
  </si>
  <si>
    <t>Most valuable farmland in the Seven Kingdoms. River trade crucial. Harrenhal controls central Riverlands.</t>
  </si>
  <si>
    <t>~30,000 maximum; ~15,000 on short notice</t>
  </si>
  <si>
    <t>3:2 mix, decent cavalry from open plains</t>
  </si>
  <si>
    <t>weak</t>
  </si>
  <si>
    <t>Good mix of heavy and light forces. River lords have distinct traditions. Vulnerable to invasion from north and east.</t>
  </si>
  <si>
    <t>The Twins (only river crossing north-south), Harrenhal (central Riverlands control)</t>
  </si>
  <si>
    <t>The Twins controls all major river crossings. Any army without a boat must pay a toll (gold cost) or capture The Twins to cross freely. Harrenhal captures lock down Riverlands.</t>
  </si>
  <si>
    <t>River knights and lesser lords willing to sell service; mercenary bands active</t>
  </si>
  <si>
    <t>Iron Islands (raiding), Westerlands (border conflicts)</t>
  </si>
  <si>
    <t>house_frey, house_blackwood, house_bracken, house_mallister, house_darry, house_vance</t>
  </si>
  <si>
    <t>house_frey, house_blackwood, house_bracken, house_mallister, house_darry</t>
  </si>
  <si>
    <t>https://awoiaf.westeros.org/index.php/Riverlands</t>
  </si>
  <si>
    <t>King of the Rock</t>
  </si>
  <si>
    <t>Westermen</t>
  </si>
  <si>
    <t>Mountain clans (Crakehall, Marbrand, Westerling, Banefort, Prester), valley lords</t>
  </si>
  <si>
    <t>Mountain winters are harsh but manageable. Protected by natural barriers.</t>
  </si>
  <si>
    <t>Tumblestone River (shared with Riverlands)</t>
  </si>
  <si>
    <t>Gold Road (east-west trade route)</t>
  </si>
  <si>
    <t>Mountains on all sides, Golden Tooth pass controls eastern entry</t>
  </si>
  <si>
    <t>Gold, silver, gems, metals—wealthiest region</t>
  </si>
  <si>
    <t>Gold, silver, metalwork, wine</t>
  </si>
  <si>
    <t>Lannisport, Kayce</t>
  </si>
  <si>
    <t>Gold mines generate enormous wealth. Golden Tooth pass controls trade. Most economically powerful region.</t>
  </si>
  <si>
    <t>~35,000 maximum; ~20,000 readily available</t>
  </si>
  <si>
    <t>2:3 infantry-heavy, fewer cavalry in mountains</t>
  </si>
  <si>
    <t>moderate</t>
  </si>
  <si>
    <t>Mountain strongholds make defense strong. Limited cavalry in terrain. Naval presence via Lannisport.</t>
  </si>
  <si>
    <t>Golden Tooth (eastern mountain pass), Casterly Rock (coastal fortress)</t>
  </si>
  <si>
    <t>Gold mines generate +2 bonus gold per production cycle for the controlling house. Golden Tooth pass: attackers suffer -2 combat rolls.</t>
  </si>
  <si>
    <t>Mountain mercenaries and sell-swords for hire; less organized than other regions</t>
  </si>
  <si>
    <t>Riverlands (border conflicts), North (ancient rivalries)</t>
  </si>
  <si>
    <t>house_crakehall, house_marbrand, house_westerling, house_banefort, house_prester, house_lefford</t>
  </si>
  <si>
    <t>house_crakehall, house_marbrand, house_westerling, house_banefort, house_prester</t>
  </si>
  <si>
    <t>https://awoiaf.westeros.org/index.php/Westerlands</t>
  </si>
  <si>
    <t>King of the Reach</t>
  </si>
  <si>
    <t>Reachmen</t>
  </si>
  <si>
    <t>Hightower (Oldtown), Redwyne (Shield Islands), Tarly (Marches), Oakheart, Florent</t>
  </si>
  <si>
    <t>Mild winters. Most fertile region—abundance and prosperity year-round.</t>
  </si>
  <si>
    <t>Mander River, Honeywine River, Blueburn River</t>
  </si>
  <si>
    <t>Rose Road, Roseroad (main trade route)</t>
  </si>
  <si>
    <t>None significant—open and accessible</t>
  </si>
  <si>
    <t>Shield Islands (offshore)</t>
  </si>
  <si>
    <t>Grain, wine, horses, fish—most fertile and populous region</t>
  </si>
  <si>
    <t>Grain, wine, horses, food, luxury items</t>
  </si>
  <si>
    <t>Oldtown, Highgarden (river access), Three Towers</t>
  </si>
  <si>
    <t>Most fertile lands. Highgarden generates wealth. Oldtown is major cultural and trade center.</t>
  </si>
  <si>
    <t>~40,000 maximum; ~25,000 readily available</t>
  </si>
  <si>
    <t>2:3 mix, excellent cavalry from plains</t>
  </si>
  <si>
    <t>strong</t>
  </si>
  <si>
    <t>House Redwyne commands large fleet from Shield Islands. Most populous region. Strong composite forces.</t>
  </si>
  <si>
    <t>Highgarden (regional control), Hightower (Oldtown)</t>
  </si>
  <si>
    <t>Holding Highgarden gives +1 gold to all Reach castles you control. Most fertile region: +1 base gold to all Reach castles during summer ticks.</t>
  </si>
  <si>
    <t>Wealthy merchants hire sell-swords; organized mercenary bands</t>
  </si>
  <si>
    <t>Dorne (border conflicts), Stormlands (historical rivalries)</t>
  </si>
  <si>
    <t>house_redwyne, house_hightower, house_tarly, house_florent, house_oakheart, house_rowan</t>
  </si>
  <si>
    <t>house_redwyne, house_hightower, house_tarly, house_florent, house_oakheart</t>
  </si>
  <si>
    <t>https://awoiaf.westeros.org/index.php/Reach</t>
  </si>
  <si>
    <t>Storm King</t>
  </si>
  <si>
    <t>Stormlanders</t>
  </si>
  <si>
    <t>Dornish Marches (Swann, Tarth, Dondarrion, Selmy, Caron)</t>
  </si>
  <si>
    <t>Storms frequent and severe. Unpredictable weather hazards.</t>
  </si>
  <si>
    <t>Wendwater River, Slayne River</t>
  </si>
  <si>
    <t>King's Road (main north-south route)</t>
  </si>
  <si>
    <t>Cape Wrath (dangerous coast), Dornish Marches (open to Dorne)</t>
  </si>
  <si>
    <t>None significant</t>
  </si>
  <si>
    <t>Timber, fish, horses</t>
  </si>
  <si>
    <t>Timber, fish, horses, leather</t>
  </si>
  <si>
    <t>Storm's End (coastal), Cape Wrath</t>
  </si>
  <si>
    <t>Moderately wealthy. Trade via King's Road and coastal access.</t>
  </si>
  <si>
    <t>~25,000 maximum; ~12,000 readily available</t>
  </si>
  <si>
    <t>2:3 infantry-heavy, good light cavalry</t>
  </si>
  <si>
    <t>Known for fierce fighters. Storm's End nearly impregnable. Limited naval strength.</t>
  </si>
  <si>
    <t>Storm's End (only major castle), Blackhaven (Dornish Marches)</t>
  </si>
  <si>
    <t>Storm's End: defending army gets +3 defense bonus—highest in the game. Random storm events delay fleet movement 1 in 5 ticks.</t>
  </si>
  <si>
    <t>Marcher lords hire mercenaries; active sell-sword bands</t>
  </si>
  <si>
    <t>Dorne (Marches conflicts), Reach (historical rivalries)</t>
  </si>
  <si>
    <t>house_swann, house_tarth, house_dondarrion, house_selmy, house_caron, house_estermont</t>
  </si>
  <si>
    <t>house_swann, house_tarth, house_dondarrion, house_selmy, house_caron</t>
  </si>
  <si>
    <t>https://awoiaf.westeros.org/index.php/Stormlands</t>
  </si>
  <si>
    <t>Prince of Dorne / King of Dorne</t>
  </si>
  <si>
    <t>Dornishmen</t>
  </si>
  <si>
    <t>Orphans of the Greenblood (Rhoynar river people), desert lords, mountain clans</t>
  </si>
  <si>
    <t>0.5</t>
  </si>
  <si>
    <t>Mild winters. Desert terrain means other hazards—attrition from heat for non-Dornish armies.</t>
  </si>
  <si>
    <t>Greenblood River</t>
  </si>
  <si>
    <t>Princes Pass, Boneway (only 2 land entry routes)</t>
  </si>
  <si>
    <t>Red Mountains (only 2 passes: Princes Pass and Boneway)</t>
  </si>
  <si>
    <t>Spices, exotic goods, water rights, olives, salt</t>
  </si>
  <si>
    <t>Spices, exotic items, wine, olives, salt</t>
  </si>
  <si>
    <t>Sunspear, Planky Town</t>
  </si>
  <si>
    <t>Wealth from trade with Essos and mysterious goods. Independent economy.</t>
  </si>
  <si>
    <t>~20,000 maximum; ~10,000 readily available</t>
  </si>
  <si>
    <t>3:2 cavalry-heavy, light cavalry and guerrilla tactics</t>
  </si>
  <si>
    <t>Dornish rely on guerrilla tactics and terrain advantage. Never fully conquered. Fast cavalry and poisoned weapons culturally notable.</t>
  </si>
  <si>
    <t>Princes Pass, Boneway (only 2 land entries), Hellholt, Yronwood</t>
  </si>
  <si>
    <t>Dorne has only 2 land entry points. Attackers entering through either pass suffer -2 combat rolls. Non-Dornish armies suffer desert attrition (+0.5 to effective winter_mult). Cannot be fully conquered—last 1-2 Dornish castles always generate insurgency.</t>
  </si>
  <si>
    <t>Desert mercenaries and Rhoynar warriors for hire</t>
  </si>
  <si>
    <t>Reach (border conflicts), Stormlands (Marches)</t>
  </si>
  <si>
    <t>house_yronwood, house_dayne, house_fowler, house_uller, house_blackmont, house_jordayne</t>
  </si>
  <si>
    <t>house_yronwood, house_dayne, house_fowler, house_uller, house_blackmont</t>
  </si>
  <si>
    <t>https://awoiaf.westeros.org/index.php/Dorne</t>
  </si>
  <si>
    <t>Vale of Arryn</t>
  </si>
  <si>
    <t>King of Mountain and Vale</t>
  </si>
  <si>
    <t>Valemen</t>
  </si>
  <si>
    <t>Vale Mountain Clans (Stone Crows, Moon Brothers, Burned Men, Black Ears, Painted Dogs), Sistermen</t>
  </si>
  <si>
    <t>1.2</t>
  </si>
  <si>
    <t>Harsh mountain winters. High altitude means early frost and snow.</t>
  </si>
  <si>
    <t>High Road (only land route in/out)</t>
  </si>
  <si>
    <t>Mountains on all sides. Only land entry: Bloody Gate on High Road.</t>
  </si>
  <si>
    <t>Three Sisters (Sisterton)</t>
  </si>
  <si>
    <t>Grain, livestock, copper, tin, timber</t>
  </si>
  <si>
    <t>Grain, livestock, metals (copper, tin), timber</t>
  </si>
  <si>
    <t>Gulltown (only major port)</t>
  </si>
  <si>
    <t>Self-sufficient. Limited external trade. Gulltown provides maritime access.</t>
  </si>
  <si>
    <t>~20,000 maximum; ~8,000 readily available</t>
  </si>
  <si>
    <t>1:4 heavily infantry-based, mountain terrain</t>
  </si>
  <si>
    <t>The Eyrie is the most impregnable castle in Westeros—cannot be taken by siege in summer. Mountain clan raiders harass the High Road.</t>
  </si>
  <si>
    <t>Bloody Gate (only land entry), Gulltown (only major port)</t>
  </si>
  <si>
    <t>Only land entry is the Bloody Gate—armies that don't control it cannot enter except by sea. The Eyrie cannot be besieged in summer—only starved out in winter.</t>
  </si>
  <si>
    <t>Mountain clan mercenaries and clansmen for hire</t>
  </si>
  <si>
    <t>North (War Across the Water / Three Sisters)</t>
  </si>
  <si>
    <t>house_royce, house_waynwood, house_corbray, house_hunter, house_redfort, house_hardyng</t>
  </si>
  <si>
    <t>house_royce, house_waynwood, house_corbray, house_hunter, house_redfort</t>
  </si>
  <si>
    <t>https://awoiaf.westeros.org/index.php/Vale_of_Arryn</t>
  </si>
  <si>
    <t>Ironborn</t>
  </si>
  <si>
    <t>Island clans: Harlaw, Great Wyk, Old Wyk, Orkmont, Pyke island, Saltcliffe, Blacktyde</t>
  </si>
  <si>
    <t>Sea-based winters are harsh but mitigated by ocean currents. Wind and storms frequent.</t>
  </si>
  <si>
    <t>Sea lanes only</t>
  </si>
  <si>
    <t>All territory is islands—no land connections to mainland</t>
  </si>
  <si>
    <t>Pyke, Great Wyk, Old Wyk, Harlaw, Saltcliffe, Blacktyde, Orkmont, Lonely Light</t>
  </si>
  <si>
    <t>Iron, fish, raiding income, ships</t>
  </si>
  <si>
    <t>Iron, ships, mercenary services, raiding plunder</t>
  </si>
  <si>
    <t>Pyke (Lordsport), Harlaw, Ten Towers</t>
  </si>
  <si>
    <t>Historically poor in resources—'the iron price' raiding culture supplements income. Naval economy.</t>
  </si>
  <si>
    <t>~15,000 maximum; ~8,000 readily available</t>
  </si>
  <si>
    <t>0:5 no cavalry, all naval/boarding troops</t>
  </si>
  <si>
    <t>Iron Fleet is among strongest in Westeros. Ironborn excel at naval warfare and coastal raids. Weak on land.</t>
  </si>
  <si>
    <t>Pyke (only approach requires naval passage)</t>
  </si>
  <si>
    <t>All Iron Islands castles are port castles. Ironborn armies cannot use land routes to attack mainland—fleet only. Raiding a coastal castle earns bonus gold equal to its Economy value.</t>
  </si>
  <si>
    <t>Ironborn raiders and sell-swords for hire; mercenary ships</t>
  </si>
  <si>
    <t>North (Theon/hostages), Riverlands (raiding targets), Reach (raiding targets)</t>
  </si>
  <si>
    <t>house_harlaw, house_goodbrother, house_blacktyde, house_drumm, house_botley, house_merlyn</t>
  </si>
  <si>
    <t>house_harlaw, house_goodbrother, house_blacktyde, house_drumm, house_botley</t>
  </si>
  <si>
    <t>https://awoiaf.westeros.org/index.php/Iron_Islands</t>
  </si>
  <si>
    <t>Lord of the Seven Kingdoms (Iron Throne)</t>
  </si>
  <si>
    <t>Crownlanders</t>
  </si>
  <si>
    <t>Crackclaw Point (semi-independent clans), King's Landing commons, nobility</t>
  </si>
  <si>
    <t>Moderate winters. Protected by coastal influences.</t>
  </si>
  <si>
    <t>Blackwater Rush (flows to King's Landing)</t>
  </si>
  <si>
    <t>King's Road, Rose Road, Gold Road (all converge at King's Landing)</t>
  </si>
  <si>
    <t>Narrow Sea (east), all roads lead here making it militarily central</t>
  </si>
  <si>
    <t>Dragonstone island, Driftmark, Claw Isle</t>
  </si>
  <si>
    <t>Trade, taxation, royal treasury, port income</t>
  </si>
  <si>
    <t>All goods pass through King's Landing; re-export economy</t>
  </si>
  <si>
    <t>King's Landing (largest city), Dragonstone</t>
  </si>
  <si>
    <t>All three major roads of Westeros converge at King's Landing. Royal treasury generates income from all regions.</t>
  </si>
  <si>
    <t>2:3 mixed forces, City Watch dominates</t>
  </si>
  <si>
    <t>City Watch of King's Landing (Gold Cloaks) defend the capital. Dragonstone has natural fortress advantages.</t>
  </si>
  <si>
    <t>King's Landing (road convergence), Dragonstone (Narrow Sea control)</t>
  </si>
  <si>
    <t>Controlling King's Landing generates Crown Tax: +3 gold per production cycle from all regions you control. First house to hold King's Landing for 3 consecutive cycles triggers a win condition check.</t>
  </si>
  <si>
    <t>King's Landing mercenaries and city hire-swords; organized companies</t>
  </si>
  <si>
    <t>None initially; others may target King's Landing</t>
  </si>
  <si>
    <t>house_velaryon, house_celtigar, house_rosby, house_stokeworth, house_bar_emmon, house_sunglass</t>
  </si>
  <si>
    <t>house_velaryon, house_celtigar, house_rosby, house_stokeworth, house_bar_emmon</t>
  </si>
  <si>
    <t>https://awoiaf.westeros.org/index.php/Crownlands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</si>
</sst>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6"/>
      <color rgb="FFC9A84C"/>
      <name val="Arial"/>
      <family val="2"/>
    </font>
    <font>
      <sz val="11"/>
      <color rgb="FFD9D9D9"/>
      <name val="Arial"/>
      <family val="2"/>
    </font>
    <font>
      <b/>
      <sz val="11"/>
      <color rgb="FFFFFFFF"/>
      <name val="Arial"/>
      <family val="2"/>
    </font>
    <font>
      <b/>
      <sz val="10"/>
      <color rgb="FF1A3A5C"/>
      <name val="Arial"/>
      <family val="2"/>
    </font>
    <font>
      <sz val="10"/>
      <color rgb="FF000000"/>
      <name val="Arial"/>
      <family val="2"/>
    </font>
    <font>
      <b/>
      <sz val="10"/>
      <color rgb="FFFFFFFF"/>
      <name val="Arial"/>
      <family val="2"/>
    </font>
    <font>
      <b/>
      <sz val="9"/>
      <color rgb="FFFFFFFF"/>
      <name val="Arial"/>
      <family val="2"/>
    </font>
    <font>
      <sz val="9"/>
      <color rgb="FF000000"/>
      <name val="Arial"/>
      <family val="2"/>
    </font>
    <font>
      <sz val="9"/>
      <color rgb="FF444444"/>
      <name val="Arial"/>
      <family val="2"/>
    </font>
    <font>
      <b/>
      <sz val="9"/>
      <color rgb="FF7B4F00"/>
      <name val="Arial"/>
      <family val="2"/>
    </font>
    <font>
      <sz val="9"/>
      <color rgb="FF1A3A5C"/>
      <name val="Arial"/>
      <family val="2"/>
    </font>
    <font>
      <b/>
      <sz val="9"/>
      <color rgb="FF1A3A5C"/>
      <name val="Arial"/>
      <family val="2"/>
    </font>
    <font>
      <b/>
      <sz val="9"/>
      <color rgb="FF444444"/>
      <name val="Arial"/>
      <family val="2"/>
    </font>
    <font>
      <b/>
      <sz val="14"/>
      <color rgb="FFC9A84C"/>
      <name val="Arial"/>
      <family val="2"/>
    </font>
    <font>
      <b/>
      <sz val="10"/>
      <color rgb="FF000000"/>
      <name val="Arial"/>
      <family val="2"/>
    </font>
    <font>
      <sz val="10"/>
      <color rgb="FF1A6B2E"/>
      <name val="Arial"/>
      <family val="2"/>
    </font>
    <font>
      <sz val="10"/>
      <color rgb="FF7B4F00"/>
      <name val="Arial"/>
      <family val="2"/>
    </font>
    <font>
      <sz val="10"/>
      <color rgb="FF8B1A1A"/>
      <name val="Arial"/>
      <family val="2"/>
    </font>
    <font>
      <sz val="9"/>
      <color rgb="FF1A6B2E"/>
      <name val="Arial"/>
      <family val="2"/>
    </font>
    <font>
      <b/>
      <sz val="9"/>
      <color rgb="FF1A4D2B"/>
      <name val="Arial"/>
      <family val="2"/>
    </font>
    <font>
      <b/>
      <sz val="10"/>
      <color rgb="FF3D1A5C"/>
      <name val="Arial"/>
      <family val="2"/>
    </font>
    <font>
      <b/>
      <sz val="10"/>
      <color rgb="FF7B4F00"/>
      <name val="Arial"/>
      <family val="2"/>
    </font>
    <font>
      <b/>
      <sz val="10"/>
      <color rgb="FF1A4D2B"/>
      <name val="Arial"/>
      <family val="2"/>
    </font>
    <font>
      <b/>
      <sz val="10"/>
      <color rgb="FF5C2010"/>
      <name val="Arial"/>
      <family val="2"/>
    </font>
    <font>
      <b/>
      <sz val="10"/>
      <color rgb="FF5C1A1A"/>
      <name val="Arial"/>
      <family val="2"/>
    </font>
    <font>
      <b/>
      <sz val="10"/>
      <color rgb="FF0A3A5C"/>
      <name val="Arial"/>
      <family val="2"/>
    </font>
    <font>
      <b/>
      <sz val="10"/>
      <color rgb="FF333333"/>
      <name val="Arial"/>
      <family val="2"/>
    </font>
    <font>
      <b/>
      <sz val="10"/>
      <color rgb="FF5C1A4A"/>
      <name val="Arial"/>
      <family val="2"/>
    </font>
    <font>
      <sz val="10"/>
      <color rgb="FFD9D9D9"/>
      <name val="Arial"/>
      <family val="2"/>
    </font>
  </fonts>
  <fills count="30">
    <fill>
      <patternFill patternType="none"/>
    </fill>
    <fill>
      <patternFill patternType="gray125"/>
    </fill>
    <fill>
      <patternFill patternType="solid">
        <fgColor rgb="FF1A1A2E"/>
      </patternFill>
    </fill>
    <fill>
      <patternFill patternType="solid">
        <fgColor rgb="FF2C3E50"/>
      </patternFill>
    </fill>
    <fill>
      <patternFill patternType="solid">
        <fgColor rgb="FFF2F2F2"/>
      </patternFill>
    </fill>
    <fill>
      <patternFill patternType="solid">
        <fgColor rgb="FFFFFFFF"/>
      </patternFill>
    </fill>
    <fill>
      <patternFill patternType="solid">
        <fgColor rgb="FF2C2C2C"/>
      </patternFill>
    </fill>
    <fill>
      <patternFill patternType="solid">
        <fgColor rgb="FF1A3A5C"/>
      </patternFill>
    </fill>
    <fill>
      <patternFill patternType="solid">
        <fgColor rgb="FF4A1942"/>
      </patternFill>
    </fill>
    <fill>
      <patternFill patternType="solid">
        <fgColor rgb="FF5C2C00"/>
      </patternFill>
    </fill>
    <fill>
      <patternFill patternType="solid">
        <fgColor rgb="FF3B1F00"/>
      </patternFill>
    </fill>
    <fill>
      <patternFill patternType="solid">
        <fgColor rgb="FF34495E"/>
      </patternFill>
    </fill>
    <fill>
      <patternFill patternType="solid">
        <fgColor rgb="FF8B1A1A"/>
      </patternFill>
    </fill>
    <fill>
      <patternFill patternType="solid">
        <fgColor rgb="FFFFF3CD"/>
      </patternFill>
    </fill>
    <fill>
      <patternFill patternType="solid">
        <fgColor rgb="FFEBF5FF"/>
      </patternFill>
    </fill>
    <fill>
      <patternFill patternType="solid">
        <fgColor rgb="FFD6E4F0"/>
      </patternFill>
    </fill>
    <fill>
      <patternFill patternType="solid">
        <fgColor rgb="FFF0F0F0"/>
      </patternFill>
    </fill>
    <fill>
      <patternFill patternType="solid">
        <fgColor rgb="FF1E4D2B"/>
      </patternFill>
    </fill>
    <fill>
      <patternFill patternType="solid">
        <fgColor rgb="FF2C2C44"/>
      </patternFill>
    </fill>
    <fill>
      <patternFill patternType="solid">
        <fgColor rgb="FFD4EDDA"/>
      </patternFill>
    </fill>
    <fill>
      <patternFill patternType="solid">
        <fgColor rgb="FF5C3600"/>
      </patternFill>
    </fill>
    <fill>
      <patternFill patternType="solid">
        <fgColor rgb="FFFAECE7"/>
      </patternFill>
    </fill>
    <fill>
      <patternFill patternType="solid">
        <fgColor rgb="FFFCE8E8"/>
      </patternFill>
    </fill>
    <fill>
      <patternFill patternType="solid">
        <fgColor rgb="FFE0F0F8"/>
      </patternFill>
    </fill>
    <fill>
      <patternFill patternType="solid">
        <fgColor rgb="FFEBEBEB"/>
      </patternFill>
    </fill>
    <fill>
      <patternFill patternType="solid">
        <fgColor rgb="FFFCE8F5"/>
      </patternFill>
    </fill>
    <fill>
      <patternFill patternType="solid">
        <fgColor rgb="FF2C4A00"/>
      </patternFill>
    </fill>
    <fill>
      <patternFill patternType="solid">
        <fgColor rgb="FF5C1A1A"/>
      </patternFill>
    </fill>
    <fill>
      <patternFill patternType="solid">
        <fgColor rgb="FF1A6B2E"/>
      </patternFill>
    </fill>
    <fill>
      <patternFill patternType="solid">
        <fgColor rgb="FFEEE0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9">
    <xf numFmtId="0" fontId="0" fillId="0" borderId="0" xfId="0"/>
    <xf numFmtId="0" fontId="4" fillId="4" borderId="0" xfId="0" applyFont="1" applyFill="1" applyAlignment="1">
      <alignment horizontal="left" vertical="center" wrapText="1"/>
    </xf>
    <xf numFmtId="0" fontId="5" fillId="5" borderId="0" xfId="0" applyFont="1" applyFill="1" applyAlignment="1">
      <alignment horizontal="left"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13"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3" fillId="16"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15" fillId="0" borderId="1" xfId="0" applyFont="1" applyBorder="1"/>
    <xf numFmtId="0" fontId="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6" fillId="3" borderId="1" xfId="0" applyFont="1" applyFill="1" applyBorder="1"/>
    <xf numFmtId="0" fontId="6" fillId="17" borderId="0" xfId="0" applyFont="1" applyFill="1" applyAlignment="1">
      <alignment horizontal="center" vertical="center" wrapText="1"/>
    </xf>
    <xf numFmtId="0" fontId="19" fillId="19"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11" fillId="14" borderId="1" xfId="0" applyFont="1" applyFill="1" applyBorder="1" applyAlignment="1">
      <alignment horizontal="left" vertical="center" wrapText="1"/>
    </xf>
    <xf numFmtId="0" fontId="20" fillId="19" borderId="1" xfId="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0" fontId="24" fillId="21" borderId="1" xfId="0" applyFont="1" applyFill="1" applyBorder="1" applyAlignment="1">
      <alignment horizontal="center" vertical="center" wrapText="1"/>
    </xf>
    <xf numFmtId="0" fontId="25" fillId="22" borderId="1" xfId="0" applyFont="1" applyFill="1" applyBorder="1" applyAlignment="1">
      <alignment horizontal="center" vertical="center" wrapText="1"/>
    </xf>
    <xf numFmtId="0" fontId="26" fillId="23" borderId="1" xfId="0" applyFont="1" applyFill="1" applyBorder="1" applyAlignment="1">
      <alignment horizontal="center" vertical="center" wrapText="1"/>
    </xf>
    <xf numFmtId="0" fontId="27" fillId="24" borderId="1" xfId="0" applyFont="1" applyFill="1" applyBorder="1" applyAlignment="1">
      <alignment horizontal="center" vertical="center" wrapText="1"/>
    </xf>
    <xf numFmtId="0" fontId="28" fillId="25" borderId="1" xfId="0" applyFont="1" applyFill="1" applyBorder="1" applyAlignment="1">
      <alignment horizontal="center" vertical="center" wrapText="1"/>
    </xf>
    <xf numFmtId="0" fontId="7" fillId="28" borderId="1" xfId="0" applyFont="1" applyFill="1" applyBorder="1" applyAlignment="1">
      <alignment horizontal="center" vertical="center" wrapText="1"/>
    </xf>
    <xf numFmtId="0" fontId="21" fillId="29" borderId="1" xfId="0" applyFont="1" applyFill="1" applyBorder="1" applyAlignment="1">
      <alignment horizontal="center" vertical="center" wrapText="1"/>
    </xf>
    <xf numFmtId="0" fontId="3" fillId="3" borderId="0" xfId="0" applyFont="1" applyFill="1" applyAlignment="1">
      <alignment horizontal="left" vertical="center" wrapText="1"/>
    </xf>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6" fillId="2" borderId="0" xfId="0" applyFont="1" applyFill="1" applyAlignment="1">
      <alignment horizontal="center" vertical="center" wrapText="1"/>
    </xf>
    <xf numFmtId="0" fontId="6" fillId="10" borderId="0" xfId="0" applyFont="1" applyFill="1" applyAlignment="1">
      <alignment horizontal="center" vertical="center" wrapText="1"/>
    </xf>
    <xf numFmtId="0" fontId="6" fillId="9" borderId="0" xfId="0" applyFont="1" applyFill="1" applyAlignment="1">
      <alignment horizontal="center" vertical="center" wrapText="1"/>
    </xf>
    <xf numFmtId="0" fontId="6" fillId="7" borderId="0" xfId="0" applyFont="1" applyFill="1" applyAlignment="1">
      <alignment horizontal="center" vertical="center" wrapText="1"/>
    </xf>
    <xf numFmtId="0" fontId="6" fillId="8" borderId="0" xfId="0" applyFont="1" applyFill="1" applyAlignment="1">
      <alignment horizontal="center" vertical="center" wrapText="1"/>
    </xf>
    <xf numFmtId="0" fontId="6" fillId="6" borderId="0" xfId="0" applyFont="1" applyFill="1" applyAlignment="1">
      <alignment horizontal="center" vertical="center" wrapText="1"/>
    </xf>
    <xf numFmtId="0" fontId="14" fillId="2" borderId="0" xfId="0" applyFont="1" applyFill="1" applyAlignment="1">
      <alignment horizontal="center" vertical="center" wrapText="1"/>
    </xf>
    <xf numFmtId="0" fontId="6" fillId="18" borderId="0" xfId="0" applyFont="1" applyFill="1" applyAlignment="1">
      <alignment horizontal="center" vertical="center" wrapText="1"/>
    </xf>
    <xf numFmtId="0" fontId="29" fillId="2" borderId="0" xfId="0" applyFont="1" applyFill="1" applyAlignment="1">
      <alignment horizontal="center" vertical="center" wrapText="1"/>
    </xf>
    <xf numFmtId="0" fontId="6" fillId="26" borderId="0" xfId="0" applyFont="1" applyFill="1" applyAlignment="1">
      <alignment horizontal="center" vertical="center" wrapText="1"/>
    </xf>
    <xf numFmtId="0" fontId="6" fillId="20" borderId="0" xfId="0" applyFont="1" applyFill="1" applyAlignment="1">
      <alignment horizontal="center" vertical="center" wrapText="1"/>
    </xf>
    <xf numFmtId="0" fontId="6" fillId="17" borderId="0" xfId="0" applyFont="1" applyFill="1" applyAlignment="1">
      <alignment horizontal="center" vertical="center" wrapText="1"/>
    </xf>
    <xf numFmtId="0" fontId="6" fillId="27"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48"/>
  <sheetViews>
    <sheetView showGridLines="0" tabSelected="1" workbookViewId="0"/>
  </sheetViews>
  <sheetFormatPr baseColWidth="10" defaultColWidth="8.83203125" defaultRowHeight="15" x14ac:dyDescent="0.2"/>
  <cols>
    <col min="1" max="1" width="2" customWidth="1"/>
    <col min="2" max="2" width="22" customWidth="1"/>
    <col min="3" max="3" width="60" customWidth="1"/>
  </cols>
  <sheetData>
    <row r="2" spans="2:3" ht="32" customHeight="1" x14ac:dyDescent="0.2">
      <c r="B2" s="34" t="s">
        <v>0</v>
      </c>
      <c r="C2" s="33"/>
    </row>
    <row r="3" spans="2:3" ht="20" customHeight="1" x14ac:dyDescent="0.2">
      <c r="B3" s="35" t="s">
        <v>1</v>
      </c>
      <c r="C3" s="33"/>
    </row>
    <row r="6" spans="2:3" ht="20" customHeight="1" x14ac:dyDescent="0.2">
      <c r="B6" s="32" t="s">
        <v>2</v>
      </c>
      <c r="C6" s="33"/>
    </row>
    <row r="7" spans="2:3" ht="28" customHeight="1" x14ac:dyDescent="0.2">
      <c r="B7" s="1" t="s">
        <v>3</v>
      </c>
      <c r="C7" s="2" t="s">
        <v>4</v>
      </c>
    </row>
    <row r="8" spans="2:3" ht="28" customHeight="1" x14ac:dyDescent="0.2">
      <c r="B8" s="1" t="s">
        <v>5</v>
      </c>
      <c r="C8" s="2" t="s">
        <v>6</v>
      </c>
    </row>
    <row r="9" spans="2:3" ht="28" customHeight="1" x14ac:dyDescent="0.2">
      <c r="B9" s="1" t="s">
        <v>7</v>
      </c>
      <c r="C9" s="2" t="s">
        <v>8</v>
      </c>
    </row>
    <row r="10" spans="2:3" ht="28" customHeight="1" x14ac:dyDescent="0.2">
      <c r="B10" s="1" t="s">
        <v>9</v>
      </c>
      <c r="C10" s="2" t="s">
        <v>10</v>
      </c>
    </row>
    <row r="11" spans="2:3" ht="28" customHeight="1" x14ac:dyDescent="0.2">
      <c r="B11" s="1" t="s">
        <v>11</v>
      </c>
      <c r="C11" s="2" t="s">
        <v>12</v>
      </c>
    </row>
    <row r="12" spans="2:3" ht="28" customHeight="1" x14ac:dyDescent="0.2">
      <c r="B12" s="1" t="s">
        <v>13</v>
      </c>
      <c r="C12" s="2" t="s">
        <v>14</v>
      </c>
    </row>
    <row r="14" spans="2:3" ht="20" customHeight="1" x14ac:dyDescent="0.2">
      <c r="B14" s="32" t="s">
        <v>15</v>
      </c>
      <c r="C14" s="33"/>
    </row>
    <row r="15" spans="2:3" ht="28" customHeight="1" x14ac:dyDescent="0.2">
      <c r="B15" s="1" t="s">
        <v>16</v>
      </c>
      <c r="C15" s="2" t="s">
        <v>17</v>
      </c>
    </row>
    <row r="16" spans="2:3" ht="28" customHeight="1" x14ac:dyDescent="0.2">
      <c r="B16" s="1" t="s">
        <v>18</v>
      </c>
      <c r="C16" s="2" t="s">
        <v>17</v>
      </c>
    </row>
    <row r="17" spans="2:3" ht="28" customHeight="1" x14ac:dyDescent="0.2">
      <c r="B17" s="1" t="s">
        <v>19</v>
      </c>
      <c r="C17" s="2" t="s">
        <v>17</v>
      </c>
    </row>
    <row r="18" spans="2:3" ht="28" customHeight="1" x14ac:dyDescent="0.2">
      <c r="B18" s="1" t="s">
        <v>20</v>
      </c>
      <c r="C18" s="2" t="s">
        <v>17</v>
      </c>
    </row>
    <row r="19" spans="2:3" ht="28" customHeight="1" x14ac:dyDescent="0.2">
      <c r="B19" s="1" t="s">
        <v>21</v>
      </c>
      <c r="C19" s="2" t="s">
        <v>22</v>
      </c>
    </row>
    <row r="20" spans="2:3" ht="28" customHeight="1" x14ac:dyDescent="0.2">
      <c r="B20" s="1" t="s">
        <v>23</v>
      </c>
      <c r="C20" s="2" t="s">
        <v>24</v>
      </c>
    </row>
    <row r="21" spans="2:3" ht="28" customHeight="1" x14ac:dyDescent="0.2">
      <c r="B21" s="1" t="s">
        <v>25</v>
      </c>
      <c r="C21" s="2" t="s">
        <v>26</v>
      </c>
    </row>
    <row r="22" spans="2:3" ht="28" customHeight="1" x14ac:dyDescent="0.2">
      <c r="B22" s="1" t="s">
        <v>27</v>
      </c>
      <c r="C22" s="2" t="s">
        <v>28</v>
      </c>
    </row>
    <row r="23" spans="2:3" ht="28" customHeight="1" x14ac:dyDescent="0.2">
      <c r="B23" s="1" t="s">
        <v>29</v>
      </c>
      <c r="C23" s="2" t="s">
        <v>30</v>
      </c>
    </row>
    <row r="24" spans="2:3" ht="28" customHeight="1" x14ac:dyDescent="0.2">
      <c r="B24" s="1" t="s">
        <v>31</v>
      </c>
      <c r="C24" s="2" t="s">
        <v>32</v>
      </c>
    </row>
    <row r="25" spans="2:3" ht="28" customHeight="1" x14ac:dyDescent="0.2">
      <c r="B25" s="1" t="s">
        <v>33</v>
      </c>
      <c r="C25" s="2" t="s">
        <v>34</v>
      </c>
    </row>
    <row r="26" spans="2:3" ht="28" customHeight="1" x14ac:dyDescent="0.2">
      <c r="B26" s="1" t="s">
        <v>35</v>
      </c>
      <c r="C26" s="2" t="s">
        <v>36</v>
      </c>
    </row>
    <row r="27" spans="2:3" ht="28" customHeight="1" x14ac:dyDescent="0.2">
      <c r="B27" s="1" t="s">
        <v>37</v>
      </c>
      <c r="C27" s="2" t="s">
        <v>38</v>
      </c>
    </row>
    <row r="28" spans="2:3" ht="28" customHeight="1" x14ac:dyDescent="0.2">
      <c r="B28" s="1" t="s">
        <v>39</v>
      </c>
      <c r="C28" s="2" t="s">
        <v>40</v>
      </c>
    </row>
    <row r="29" spans="2:3" ht="28" customHeight="1" x14ac:dyDescent="0.2">
      <c r="B29" s="1" t="s">
        <v>41</v>
      </c>
      <c r="C29" s="2" t="s">
        <v>42</v>
      </c>
    </row>
    <row r="30" spans="2:3" ht="28" customHeight="1" x14ac:dyDescent="0.2">
      <c r="B30" s="1" t="s">
        <v>43</v>
      </c>
      <c r="C30" s="2" t="s">
        <v>44</v>
      </c>
    </row>
    <row r="31" spans="2:3" ht="28" customHeight="1" x14ac:dyDescent="0.2">
      <c r="B31" s="1" t="s">
        <v>45</v>
      </c>
      <c r="C31" s="2" t="s">
        <v>46</v>
      </c>
    </row>
    <row r="32" spans="2:3" ht="28" customHeight="1" x14ac:dyDescent="0.2">
      <c r="B32" s="1" t="s">
        <v>47</v>
      </c>
      <c r="C32" s="2" t="s">
        <v>48</v>
      </c>
    </row>
    <row r="33" spans="2:3" ht="28" customHeight="1" x14ac:dyDescent="0.2">
      <c r="B33" s="1" t="s">
        <v>49</v>
      </c>
      <c r="C33" s="2" t="s">
        <v>50</v>
      </c>
    </row>
    <row r="34" spans="2:3" ht="28" customHeight="1" x14ac:dyDescent="0.2">
      <c r="B34" s="1" t="s">
        <v>51</v>
      </c>
      <c r="C34" s="2" t="s">
        <v>52</v>
      </c>
    </row>
    <row r="35" spans="2:3" ht="28" customHeight="1" x14ac:dyDescent="0.2">
      <c r="B35" s="1" t="s">
        <v>53</v>
      </c>
      <c r="C35" s="2" t="s">
        <v>54</v>
      </c>
    </row>
    <row r="36" spans="2:3" ht="28" customHeight="1" x14ac:dyDescent="0.2">
      <c r="B36" s="1" t="s">
        <v>55</v>
      </c>
      <c r="C36" s="2" t="s">
        <v>17</v>
      </c>
    </row>
    <row r="37" spans="2:3" ht="28" customHeight="1" x14ac:dyDescent="0.2">
      <c r="B37" s="1" t="s">
        <v>56</v>
      </c>
      <c r="C37" s="2" t="s">
        <v>57</v>
      </c>
    </row>
    <row r="39" spans="2:3" ht="20" customHeight="1" x14ac:dyDescent="0.2">
      <c r="B39" s="32" t="s">
        <v>58</v>
      </c>
      <c r="C39" s="33"/>
    </row>
    <row r="40" spans="2:3" ht="28" customHeight="1" x14ac:dyDescent="0.2">
      <c r="B40" s="1" t="s">
        <v>59</v>
      </c>
      <c r="C40" s="2" t="s">
        <v>60</v>
      </c>
    </row>
    <row r="41" spans="2:3" ht="28" customHeight="1" x14ac:dyDescent="0.2">
      <c r="B41" s="1" t="s">
        <v>61</v>
      </c>
      <c r="C41" s="2" t="s">
        <v>62</v>
      </c>
    </row>
    <row r="42" spans="2:3" ht="28" customHeight="1" x14ac:dyDescent="0.2">
      <c r="B42" s="1" t="s">
        <v>63</v>
      </c>
      <c r="C42" s="2" t="s">
        <v>64</v>
      </c>
    </row>
    <row r="44" spans="2:3" ht="20" customHeight="1" x14ac:dyDescent="0.2">
      <c r="B44" s="32" t="s">
        <v>65</v>
      </c>
      <c r="C44" s="33"/>
    </row>
    <row r="45" spans="2:3" ht="28" customHeight="1" x14ac:dyDescent="0.2">
      <c r="B45" s="1" t="s">
        <v>66</v>
      </c>
      <c r="C45" s="2" t="s">
        <v>67</v>
      </c>
    </row>
    <row r="46" spans="2:3" ht="28" customHeight="1" x14ac:dyDescent="0.2">
      <c r="B46" s="1" t="s">
        <v>68</v>
      </c>
      <c r="C46" s="2" t="s">
        <v>69</v>
      </c>
    </row>
    <row r="47" spans="2:3" ht="28" customHeight="1" x14ac:dyDescent="0.2">
      <c r="B47" s="1" t="s">
        <v>70</v>
      </c>
      <c r="C47" s="2" t="s">
        <v>71</v>
      </c>
    </row>
    <row r="48" spans="2:3" ht="28" customHeight="1" x14ac:dyDescent="0.2">
      <c r="B48" s="1" t="s">
        <v>72</v>
      </c>
      <c r="C48" s="2" t="s">
        <v>73</v>
      </c>
    </row>
  </sheetData>
  <mergeCells count="6">
    <mergeCell ref="B39:C39"/>
    <mergeCell ref="B6:C6"/>
    <mergeCell ref="B44:C44"/>
    <mergeCell ref="B2:C2"/>
    <mergeCell ref="B3:C3"/>
    <mergeCell ref="B14:C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90"/>
  <sheetViews>
    <sheetView showGridLines="0" workbookViewId="0">
      <pane xSplit="4" ySplit="2" topLeftCell="E3" activePane="bottomRight" state="frozen"/>
      <selection pane="topRight"/>
      <selection pane="bottomLeft"/>
      <selection pane="bottomRight"/>
    </sheetView>
  </sheetViews>
  <sheetFormatPr baseColWidth="10" defaultColWidth="8.83203125" defaultRowHeight="15" x14ac:dyDescent="0.2"/>
  <cols>
    <col min="1" max="2" width="14" customWidth="1"/>
    <col min="3" max="4" width="22" customWidth="1"/>
    <col min="5" max="5" width="16" customWidth="1"/>
    <col min="6" max="6" width="8" customWidth="1"/>
    <col min="7" max="7" width="30" customWidth="1"/>
    <col min="8" max="8" width="18" customWidth="1"/>
    <col min="9" max="9" width="28" customWidth="1"/>
    <col min="10" max="10" width="14" customWidth="1"/>
    <col min="11" max="13" width="10" customWidth="1"/>
    <col min="14" max="15" width="14" customWidth="1"/>
    <col min="16" max="16" width="10" customWidth="1"/>
    <col min="17" max="20" width="14" customWidth="1"/>
    <col min="21" max="21" width="30" customWidth="1"/>
    <col min="22" max="23" width="22" customWidth="1"/>
    <col min="24" max="24" width="20" customWidth="1"/>
    <col min="25" max="27" width="45" customWidth="1"/>
  </cols>
  <sheetData>
    <row r="1" spans="1:27" ht="18" customHeight="1" x14ac:dyDescent="0.2">
      <c r="A1" s="41" t="s">
        <v>74</v>
      </c>
      <c r="B1" s="33"/>
      <c r="C1" s="39" t="s">
        <v>75</v>
      </c>
      <c r="D1" s="33"/>
      <c r="E1" s="33"/>
      <c r="F1" s="33"/>
      <c r="G1" s="40" t="s">
        <v>76</v>
      </c>
      <c r="H1" s="33"/>
      <c r="I1" s="33"/>
      <c r="J1" s="33"/>
      <c r="K1" s="38" t="s">
        <v>77</v>
      </c>
      <c r="L1" s="33"/>
      <c r="M1" s="33"/>
      <c r="N1" s="33"/>
      <c r="O1" s="33"/>
      <c r="P1" s="37" t="s">
        <v>78</v>
      </c>
      <c r="Q1" s="33"/>
      <c r="R1" s="33"/>
      <c r="S1" s="33"/>
      <c r="T1" s="33"/>
      <c r="U1" s="33"/>
      <c r="V1" s="36" t="s">
        <v>79</v>
      </c>
      <c r="W1" s="33"/>
      <c r="X1" s="33"/>
      <c r="Y1" s="33"/>
      <c r="Z1" s="33"/>
      <c r="AA1" s="33"/>
    </row>
    <row r="2" spans="1:27" ht="22" customHeight="1" x14ac:dyDescent="0.2">
      <c r="A2" s="3" t="s">
        <v>21</v>
      </c>
      <c r="B2" s="3" t="s">
        <v>80</v>
      </c>
      <c r="C2" s="3" t="s">
        <v>16</v>
      </c>
      <c r="D2" s="3" t="s">
        <v>18</v>
      </c>
      <c r="E2" s="3" t="s">
        <v>19</v>
      </c>
      <c r="F2" s="3" t="s">
        <v>20</v>
      </c>
      <c r="G2" s="3" t="s">
        <v>23</v>
      </c>
      <c r="H2" s="3" t="s">
        <v>81</v>
      </c>
      <c r="I2" s="3" t="s">
        <v>82</v>
      </c>
      <c r="J2" s="3" t="s">
        <v>83</v>
      </c>
      <c r="K2" s="3" t="s">
        <v>27</v>
      </c>
      <c r="L2" s="3" t="s">
        <v>29</v>
      </c>
      <c r="M2" s="3" t="s">
        <v>31</v>
      </c>
      <c r="N2" s="3" t="s">
        <v>33</v>
      </c>
      <c r="O2" s="3" t="s">
        <v>35</v>
      </c>
      <c r="P2" s="3" t="s">
        <v>37</v>
      </c>
      <c r="Q2" s="3" t="s">
        <v>39</v>
      </c>
      <c r="R2" s="3" t="s">
        <v>84</v>
      </c>
      <c r="S2" s="3" t="s">
        <v>41</v>
      </c>
      <c r="T2" s="3" t="s">
        <v>43</v>
      </c>
      <c r="U2" s="3" t="s">
        <v>85</v>
      </c>
      <c r="V2" s="3" t="s">
        <v>45</v>
      </c>
      <c r="W2" s="3" t="s">
        <v>47</v>
      </c>
      <c r="X2" s="3" t="s">
        <v>49</v>
      </c>
      <c r="Y2" s="3" t="s">
        <v>51</v>
      </c>
      <c r="Z2" s="3" t="s">
        <v>53</v>
      </c>
      <c r="AA2" s="3" t="s">
        <v>55</v>
      </c>
    </row>
    <row r="3" spans="1:27" ht="20" customHeight="1" x14ac:dyDescent="0.2">
      <c r="A3" s="4" t="s">
        <v>86</v>
      </c>
      <c r="B3" s="5" t="s">
        <v>87</v>
      </c>
      <c r="C3" s="6" t="s">
        <v>88</v>
      </c>
      <c r="D3" s="6" t="s">
        <v>89</v>
      </c>
      <c r="E3" s="6" t="s">
        <v>90</v>
      </c>
      <c r="F3" s="7">
        <v>1</v>
      </c>
      <c r="G3" s="5" t="s">
        <v>91</v>
      </c>
      <c r="H3" s="5" t="s">
        <v>92</v>
      </c>
      <c r="I3" s="5" t="s">
        <v>93</v>
      </c>
      <c r="J3" s="5" t="s">
        <v>94</v>
      </c>
      <c r="K3" s="8">
        <v>5</v>
      </c>
      <c r="L3" s="8">
        <v>5</v>
      </c>
      <c r="M3" s="8">
        <v>4</v>
      </c>
      <c r="N3" s="8">
        <v>7</v>
      </c>
      <c r="O3" s="8">
        <v>3</v>
      </c>
      <c r="P3" s="5" t="s">
        <v>94</v>
      </c>
      <c r="Q3" s="5" t="s">
        <v>95</v>
      </c>
      <c r="R3" s="5" t="s">
        <v>94</v>
      </c>
      <c r="S3" s="5" t="s">
        <v>96</v>
      </c>
      <c r="T3" s="8">
        <v>1</v>
      </c>
      <c r="U3" s="5" t="s">
        <v>97</v>
      </c>
      <c r="V3" s="5" t="s">
        <v>98</v>
      </c>
      <c r="W3" s="5" t="s">
        <v>99</v>
      </c>
      <c r="X3" s="5" t="s">
        <v>100</v>
      </c>
      <c r="Y3" s="5" t="s">
        <v>101</v>
      </c>
      <c r="Z3" s="5" t="s">
        <v>102</v>
      </c>
      <c r="AA3" s="6" t="s">
        <v>103</v>
      </c>
    </row>
    <row r="4" spans="1:27" ht="20" customHeight="1" x14ac:dyDescent="0.2">
      <c r="A4" s="4" t="s">
        <v>86</v>
      </c>
      <c r="B4" s="5" t="s">
        <v>87</v>
      </c>
      <c r="C4" s="6" t="s">
        <v>104</v>
      </c>
      <c r="D4" s="6" t="s">
        <v>105</v>
      </c>
      <c r="E4" s="6" t="s">
        <v>90</v>
      </c>
      <c r="F4" s="7">
        <v>1</v>
      </c>
      <c r="G4" s="5" t="s">
        <v>106</v>
      </c>
      <c r="H4" s="5" t="s">
        <v>107</v>
      </c>
      <c r="I4" s="5" t="s">
        <v>108</v>
      </c>
      <c r="J4" s="5" t="s">
        <v>95</v>
      </c>
      <c r="K4" s="8">
        <v>5</v>
      </c>
      <c r="L4" s="8">
        <v>5</v>
      </c>
      <c r="M4" s="8">
        <v>4</v>
      </c>
      <c r="N4" s="8">
        <v>7</v>
      </c>
      <c r="O4" s="8">
        <v>3</v>
      </c>
      <c r="P4" s="5" t="s">
        <v>94</v>
      </c>
      <c r="Q4" s="5" t="s">
        <v>95</v>
      </c>
      <c r="R4" s="5" t="s">
        <v>94</v>
      </c>
      <c r="S4" s="5" t="s">
        <v>109</v>
      </c>
      <c r="T4" s="8">
        <v>1</v>
      </c>
      <c r="U4" s="5" t="s">
        <v>110</v>
      </c>
      <c r="V4" s="5" t="s">
        <v>111</v>
      </c>
      <c r="W4" s="5" t="s">
        <v>112</v>
      </c>
      <c r="X4" s="5" t="s">
        <v>113</v>
      </c>
      <c r="Y4" s="5" t="s">
        <v>114</v>
      </c>
      <c r="Z4" s="5" t="s">
        <v>115</v>
      </c>
      <c r="AA4" s="6" t="s">
        <v>116</v>
      </c>
    </row>
    <row r="5" spans="1:27" ht="20" customHeight="1" x14ac:dyDescent="0.2">
      <c r="A5" s="4" t="s">
        <v>86</v>
      </c>
      <c r="B5" s="5" t="s">
        <v>87</v>
      </c>
      <c r="C5" s="6" t="s">
        <v>117</v>
      </c>
      <c r="D5" s="6" t="s">
        <v>118</v>
      </c>
      <c r="E5" s="6" t="s">
        <v>90</v>
      </c>
      <c r="F5" s="9">
        <v>2</v>
      </c>
      <c r="G5" s="5" t="s">
        <v>119</v>
      </c>
      <c r="H5" s="5" t="s">
        <v>120</v>
      </c>
      <c r="I5" s="5" t="s">
        <v>121</v>
      </c>
      <c r="J5" s="5" t="s">
        <v>95</v>
      </c>
      <c r="K5" s="8">
        <v>3</v>
      </c>
      <c r="L5" s="8">
        <v>3</v>
      </c>
      <c r="M5" s="8">
        <v>2</v>
      </c>
      <c r="N5" s="8">
        <v>5</v>
      </c>
      <c r="O5" s="8">
        <v>2</v>
      </c>
      <c r="P5" s="5" t="s">
        <v>95</v>
      </c>
      <c r="Q5" s="5" t="s">
        <v>95</v>
      </c>
      <c r="R5" s="5" t="s">
        <v>95</v>
      </c>
      <c r="S5" s="5" t="s">
        <v>122</v>
      </c>
      <c r="T5" s="8">
        <v>1</v>
      </c>
      <c r="U5" s="5"/>
      <c r="V5" s="5" t="s">
        <v>123</v>
      </c>
      <c r="W5" s="5" t="s">
        <v>124</v>
      </c>
      <c r="X5" s="5" t="s">
        <v>100</v>
      </c>
      <c r="Y5" s="5" t="s">
        <v>125</v>
      </c>
      <c r="Z5" s="5" t="s">
        <v>126</v>
      </c>
      <c r="AA5" s="6" t="s">
        <v>127</v>
      </c>
    </row>
    <row r="6" spans="1:27" ht="20" customHeight="1" x14ac:dyDescent="0.2">
      <c r="A6" s="4" t="s">
        <v>86</v>
      </c>
      <c r="B6" s="5" t="s">
        <v>87</v>
      </c>
      <c r="C6" s="6" t="s">
        <v>128</v>
      </c>
      <c r="D6" s="6" t="s">
        <v>129</v>
      </c>
      <c r="E6" s="6" t="s">
        <v>90</v>
      </c>
      <c r="F6" s="9">
        <v>2</v>
      </c>
      <c r="G6" s="5" t="s">
        <v>130</v>
      </c>
      <c r="H6" s="5" t="s">
        <v>120</v>
      </c>
      <c r="I6" s="5" t="s">
        <v>121</v>
      </c>
      <c r="J6" s="5" t="s">
        <v>95</v>
      </c>
      <c r="K6" s="8">
        <v>3</v>
      </c>
      <c r="L6" s="8">
        <v>3</v>
      </c>
      <c r="M6" s="8">
        <v>2</v>
      </c>
      <c r="N6" s="8">
        <v>5</v>
      </c>
      <c r="O6" s="8">
        <v>2</v>
      </c>
      <c r="P6" s="5" t="s">
        <v>95</v>
      </c>
      <c r="Q6" s="5" t="s">
        <v>95</v>
      </c>
      <c r="R6" s="5" t="s">
        <v>95</v>
      </c>
      <c r="S6" s="5" t="s">
        <v>122</v>
      </c>
      <c r="T6" s="8">
        <v>1</v>
      </c>
      <c r="U6" s="5"/>
      <c r="V6" s="5" t="s">
        <v>131</v>
      </c>
      <c r="W6" s="5" t="s">
        <v>124</v>
      </c>
      <c r="X6" s="5" t="s">
        <v>100</v>
      </c>
      <c r="Y6" s="5" t="s">
        <v>132</v>
      </c>
      <c r="Z6" s="5" t="s">
        <v>126</v>
      </c>
      <c r="AA6" s="6" t="s">
        <v>133</v>
      </c>
    </row>
    <row r="7" spans="1:27" ht="20" customHeight="1" x14ac:dyDescent="0.2">
      <c r="A7" s="4" t="s">
        <v>86</v>
      </c>
      <c r="B7" s="5" t="s">
        <v>87</v>
      </c>
      <c r="C7" s="6" t="s">
        <v>134</v>
      </c>
      <c r="D7" s="6" t="s">
        <v>135</v>
      </c>
      <c r="E7" s="6" t="s">
        <v>90</v>
      </c>
      <c r="F7" s="9">
        <v>2</v>
      </c>
      <c r="G7" s="5" t="s">
        <v>136</v>
      </c>
      <c r="H7" s="5" t="s">
        <v>120</v>
      </c>
      <c r="I7" s="5" t="s">
        <v>121</v>
      </c>
      <c r="J7" s="5" t="s">
        <v>95</v>
      </c>
      <c r="K7" s="8">
        <v>3</v>
      </c>
      <c r="L7" s="8">
        <v>3</v>
      </c>
      <c r="M7" s="8">
        <v>2</v>
      </c>
      <c r="N7" s="8">
        <v>5</v>
      </c>
      <c r="O7" s="8">
        <v>2</v>
      </c>
      <c r="P7" s="5" t="s">
        <v>95</v>
      </c>
      <c r="Q7" s="5" t="s">
        <v>95</v>
      </c>
      <c r="R7" s="5" t="s">
        <v>95</v>
      </c>
      <c r="S7" s="5" t="s">
        <v>122</v>
      </c>
      <c r="T7" s="8">
        <v>1</v>
      </c>
      <c r="U7" s="5"/>
      <c r="V7" s="5" t="s">
        <v>137</v>
      </c>
      <c r="W7" s="5" t="s">
        <v>124</v>
      </c>
      <c r="X7" s="5" t="s">
        <v>100</v>
      </c>
      <c r="Y7" s="5" t="s">
        <v>138</v>
      </c>
      <c r="Z7" s="5" t="s">
        <v>139</v>
      </c>
      <c r="AA7" s="6" t="s">
        <v>140</v>
      </c>
    </row>
    <row r="8" spans="1:27" ht="20" customHeight="1" x14ac:dyDescent="0.2">
      <c r="A8" s="4" t="s">
        <v>86</v>
      </c>
      <c r="B8" s="5" t="s">
        <v>87</v>
      </c>
      <c r="C8" s="6" t="s">
        <v>141</v>
      </c>
      <c r="D8" s="6" t="s">
        <v>142</v>
      </c>
      <c r="E8" s="6" t="s">
        <v>90</v>
      </c>
      <c r="F8" s="9">
        <v>2</v>
      </c>
      <c r="G8" s="5" t="s">
        <v>143</v>
      </c>
      <c r="H8" s="5" t="s">
        <v>107</v>
      </c>
      <c r="I8" s="5" t="s">
        <v>121</v>
      </c>
      <c r="J8" s="5" t="s">
        <v>95</v>
      </c>
      <c r="K8" s="8">
        <v>3</v>
      </c>
      <c r="L8" s="8">
        <v>3</v>
      </c>
      <c r="M8" s="8">
        <v>2</v>
      </c>
      <c r="N8" s="8">
        <v>5</v>
      </c>
      <c r="O8" s="8">
        <v>2</v>
      </c>
      <c r="P8" s="5" t="s">
        <v>94</v>
      </c>
      <c r="Q8" s="5" t="s">
        <v>95</v>
      </c>
      <c r="R8" s="5" t="s">
        <v>95</v>
      </c>
      <c r="S8" s="5" t="s">
        <v>109</v>
      </c>
      <c r="T8" s="8">
        <v>1</v>
      </c>
      <c r="U8" s="5"/>
      <c r="V8" s="5" t="s">
        <v>144</v>
      </c>
      <c r="W8" s="5" t="s">
        <v>145</v>
      </c>
      <c r="X8" s="5" t="s">
        <v>100</v>
      </c>
      <c r="Y8" s="5" t="s">
        <v>146</v>
      </c>
      <c r="Z8" s="5" t="s">
        <v>147</v>
      </c>
      <c r="AA8" s="6" t="s">
        <v>148</v>
      </c>
    </row>
    <row r="9" spans="1:27" ht="20" customHeight="1" x14ac:dyDescent="0.2">
      <c r="A9" s="4" t="s">
        <v>86</v>
      </c>
      <c r="B9" s="5" t="s">
        <v>87</v>
      </c>
      <c r="C9" s="6" t="s">
        <v>149</v>
      </c>
      <c r="D9" s="6" t="s">
        <v>150</v>
      </c>
      <c r="E9" s="6" t="s">
        <v>90</v>
      </c>
      <c r="F9" s="10">
        <v>3</v>
      </c>
      <c r="G9" s="5" t="s">
        <v>151</v>
      </c>
      <c r="H9" s="5" t="s">
        <v>107</v>
      </c>
      <c r="I9" s="5" t="s">
        <v>121</v>
      </c>
      <c r="J9" s="5" t="s">
        <v>95</v>
      </c>
      <c r="K9" s="8">
        <v>1</v>
      </c>
      <c r="L9" s="8">
        <v>1</v>
      </c>
      <c r="M9" s="8">
        <v>0</v>
      </c>
      <c r="N9" s="8">
        <v>3</v>
      </c>
      <c r="O9" s="8">
        <v>1</v>
      </c>
      <c r="P9" s="5" t="s">
        <v>94</v>
      </c>
      <c r="Q9" s="5" t="s">
        <v>95</v>
      </c>
      <c r="R9" s="5" t="s">
        <v>95</v>
      </c>
      <c r="S9" s="5" t="s">
        <v>96</v>
      </c>
      <c r="T9" s="8">
        <v>1</v>
      </c>
      <c r="U9" s="5"/>
      <c r="V9" s="5" t="s">
        <v>152</v>
      </c>
      <c r="W9" s="5" t="s">
        <v>124</v>
      </c>
      <c r="X9" s="5" t="s">
        <v>100</v>
      </c>
      <c r="Y9" s="5" t="s">
        <v>153</v>
      </c>
      <c r="Z9" s="5" t="s">
        <v>154</v>
      </c>
      <c r="AA9" s="6" t="s">
        <v>155</v>
      </c>
    </row>
    <row r="10" spans="1:27" ht="20" customHeight="1" x14ac:dyDescent="0.2">
      <c r="A10" s="4" t="s">
        <v>86</v>
      </c>
      <c r="B10" s="5" t="s">
        <v>87</v>
      </c>
      <c r="C10" s="6" t="s">
        <v>156</v>
      </c>
      <c r="D10" s="6" t="s">
        <v>157</v>
      </c>
      <c r="E10" s="6" t="s">
        <v>90</v>
      </c>
      <c r="F10" s="10">
        <v>3</v>
      </c>
      <c r="G10" s="5" t="s">
        <v>158</v>
      </c>
      <c r="H10" s="5" t="s">
        <v>107</v>
      </c>
      <c r="I10" s="5" t="s">
        <v>121</v>
      </c>
      <c r="J10" s="5" t="s">
        <v>95</v>
      </c>
      <c r="K10" s="8">
        <v>1</v>
      </c>
      <c r="L10" s="8">
        <v>1</v>
      </c>
      <c r="M10" s="8">
        <v>0</v>
      </c>
      <c r="N10" s="8">
        <v>3</v>
      </c>
      <c r="O10" s="8">
        <v>1</v>
      </c>
      <c r="P10" s="5" t="s">
        <v>94</v>
      </c>
      <c r="Q10" s="5" t="s">
        <v>95</v>
      </c>
      <c r="R10" s="5" t="s">
        <v>95</v>
      </c>
      <c r="S10" s="5" t="s">
        <v>96</v>
      </c>
      <c r="T10" s="8">
        <v>1</v>
      </c>
      <c r="U10" s="5"/>
      <c r="V10" s="5" t="s">
        <v>159</v>
      </c>
      <c r="W10" s="5" t="s">
        <v>124</v>
      </c>
      <c r="X10" s="5" t="s">
        <v>100</v>
      </c>
      <c r="Y10" s="5" t="s">
        <v>153</v>
      </c>
      <c r="Z10" s="5" t="s">
        <v>160</v>
      </c>
      <c r="AA10" s="6" t="s">
        <v>161</v>
      </c>
    </row>
    <row r="11" spans="1:27" ht="20" customHeight="1" x14ac:dyDescent="0.2">
      <c r="A11" s="4" t="s">
        <v>86</v>
      </c>
      <c r="B11" s="5" t="s">
        <v>87</v>
      </c>
      <c r="C11" s="6" t="s">
        <v>162</v>
      </c>
      <c r="D11" s="6" t="s">
        <v>163</v>
      </c>
      <c r="E11" s="6" t="s">
        <v>90</v>
      </c>
      <c r="F11" s="10">
        <v>3</v>
      </c>
      <c r="G11" s="5" t="s">
        <v>164</v>
      </c>
      <c r="H11" s="5" t="s">
        <v>107</v>
      </c>
      <c r="I11" s="5" t="s">
        <v>121</v>
      </c>
      <c r="J11" s="5" t="s">
        <v>95</v>
      </c>
      <c r="K11" s="8">
        <v>1</v>
      </c>
      <c r="L11" s="8">
        <v>1</v>
      </c>
      <c r="M11" s="8">
        <v>0</v>
      </c>
      <c r="N11" s="8">
        <v>3</v>
      </c>
      <c r="O11" s="8">
        <v>1</v>
      </c>
      <c r="P11" s="5" t="s">
        <v>94</v>
      </c>
      <c r="Q11" s="5" t="s">
        <v>95</v>
      </c>
      <c r="R11" s="5" t="s">
        <v>95</v>
      </c>
      <c r="S11" s="5" t="s">
        <v>96</v>
      </c>
      <c r="T11" s="8">
        <v>1</v>
      </c>
      <c r="U11" s="5"/>
      <c r="V11" s="5" t="s">
        <v>165</v>
      </c>
      <c r="W11" s="5" t="s">
        <v>124</v>
      </c>
      <c r="X11" s="5" t="s">
        <v>100</v>
      </c>
      <c r="Y11" s="5" t="s">
        <v>166</v>
      </c>
      <c r="Z11" s="5" t="s">
        <v>167</v>
      </c>
      <c r="AA11" s="6" t="s">
        <v>168</v>
      </c>
    </row>
    <row r="12" spans="1:27" ht="20" customHeight="1" x14ac:dyDescent="0.2">
      <c r="A12" s="4" t="s">
        <v>86</v>
      </c>
      <c r="B12" s="5" t="s">
        <v>87</v>
      </c>
      <c r="C12" s="6" t="s">
        <v>169</v>
      </c>
      <c r="D12" s="6" t="s">
        <v>170</v>
      </c>
      <c r="E12" s="6" t="s">
        <v>90</v>
      </c>
      <c r="F12" s="10">
        <v>3</v>
      </c>
      <c r="G12" s="5" t="s">
        <v>171</v>
      </c>
      <c r="H12" s="5" t="s">
        <v>120</v>
      </c>
      <c r="I12" s="5" t="s">
        <v>121</v>
      </c>
      <c r="J12" s="5" t="s">
        <v>95</v>
      </c>
      <c r="K12" s="8">
        <v>1</v>
      </c>
      <c r="L12" s="8">
        <v>1</v>
      </c>
      <c r="M12" s="8">
        <v>0</v>
      </c>
      <c r="N12" s="8">
        <v>3</v>
      </c>
      <c r="O12" s="8">
        <v>1</v>
      </c>
      <c r="P12" s="5" t="s">
        <v>95</v>
      </c>
      <c r="Q12" s="5" t="s">
        <v>95</v>
      </c>
      <c r="R12" s="5" t="s">
        <v>95</v>
      </c>
      <c r="S12" s="5" t="s">
        <v>172</v>
      </c>
      <c r="T12" s="8">
        <v>1</v>
      </c>
      <c r="U12" s="5"/>
      <c r="V12" s="5" t="s">
        <v>137</v>
      </c>
      <c r="W12" s="5" t="s">
        <v>124</v>
      </c>
      <c r="X12" s="5" t="s">
        <v>100</v>
      </c>
      <c r="Y12" s="5" t="s">
        <v>173</v>
      </c>
      <c r="Z12" s="5" t="s">
        <v>126</v>
      </c>
      <c r="AA12" s="6" t="s">
        <v>174</v>
      </c>
    </row>
    <row r="13" spans="1:27" ht="20" customHeight="1" x14ac:dyDescent="0.2">
      <c r="A13" s="4" t="s">
        <v>86</v>
      </c>
      <c r="B13" s="5" t="s">
        <v>87</v>
      </c>
      <c r="C13" s="6" t="s">
        <v>175</v>
      </c>
      <c r="D13" s="6" t="s">
        <v>176</v>
      </c>
      <c r="E13" s="6" t="s">
        <v>90</v>
      </c>
      <c r="F13" s="10">
        <v>3</v>
      </c>
      <c r="G13" s="5" t="s">
        <v>171</v>
      </c>
      <c r="H13" s="5" t="s">
        <v>120</v>
      </c>
      <c r="I13" s="5" t="s">
        <v>121</v>
      </c>
      <c r="J13" s="5" t="s">
        <v>95</v>
      </c>
      <c r="K13" s="8">
        <v>1</v>
      </c>
      <c r="L13" s="8">
        <v>1</v>
      </c>
      <c r="M13" s="8">
        <v>0</v>
      </c>
      <c r="N13" s="8">
        <v>3</v>
      </c>
      <c r="O13" s="8">
        <v>1</v>
      </c>
      <c r="P13" s="5" t="s">
        <v>95</v>
      </c>
      <c r="Q13" s="5" t="s">
        <v>95</v>
      </c>
      <c r="R13" s="5" t="s">
        <v>95</v>
      </c>
      <c r="S13" s="5" t="s">
        <v>122</v>
      </c>
      <c r="T13" s="8">
        <v>1</v>
      </c>
      <c r="U13" s="5"/>
      <c r="V13" s="5" t="s">
        <v>137</v>
      </c>
      <c r="W13" s="5" t="s">
        <v>124</v>
      </c>
      <c r="X13" s="5" t="s">
        <v>100</v>
      </c>
      <c r="Y13" s="5" t="s">
        <v>177</v>
      </c>
      <c r="Z13" s="5" t="s">
        <v>126</v>
      </c>
      <c r="AA13" s="6" t="s">
        <v>178</v>
      </c>
    </row>
    <row r="14" spans="1:27" ht="20" customHeight="1" x14ac:dyDescent="0.2">
      <c r="A14" s="4" t="s">
        <v>86</v>
      </c>
      <c r="B14" s="5" t="s">
        <v>87</v>
      </c>
      <c r="C14" s="6" t="s">
        <v>179</v>
      </c>
      <c r="D14" s="6" t="s">
        <v>180</v>
      </c>
      <c r="E14" s="6" t="s">
        <v>90</v>
      </c>
      <c r="F14" s="10">
        <v>3</v>
      </c>
      <c r="G14" s="5" t="s">
        <v>164</v>
      </c>
      <c r="H14" s="5" t="s">
        <v>107</v>
      </c>
      <c r="I14" s="5" t="s">
        <v>121</v>
      </c>
      <c r="J14" s="5" t="s">
        <v>95</v>
      </c>
      <c r="K14" s="8">
        <v>1</v>
      </c>
      <c r="L14" s="8">
        <v>1</v>
      </c>
      <c r="M14" s="8">
        <v>0</v>
      </c>
      <c r="N14" s="8">
        <v>3</v>
      </c>
      <c r="O14" s="8">
        <v>1</v>
      </c>
      <c r="P14" s="5" t="s">
        <v>94</v>
      </c>
      <c r="Q14" s="5" t="s">
        <v>95</v>
      </c>
      <c r="R14" s="5" t="s">
        <v>95</v>
      </c>
      <c r="S14" s="5" t="s">
        <v>96</v>
      </c>
      <c r="T14" s="8">
        <v>1</v>
      </c>
      <c r="U14" s="5"/>
      <c r="V14" s="5" t="s">
        <v>137</v>
      </c>
      <c r="W14" s="5" t="s">
        <v>124</v>
      </c>
      <c r="X14" s="5" t="s">
        <v>100</v>
      </c>
      <c r="Y14" s="5" t="s">
        <v>153</v>
      </c>
      <c r="Z14" s="5" t="s">
        <v>181</v>
      </c>
      <c r="AA14" s="6" t="s">
        <v>182</v>
      </c>
    </row>
    <row r="15" spans="1:27" ht="20" customHeight="1" x14ac:dyDescent="0.2">
      <c r="A15" s="4" t="s">
        <v>86</v>
      </c>
      <c r="B15" s="5" t="s">
        <v>87</v>
      </c>
      <c r="C15" s="6" t="s">
        <v>183</v>
      </c>
      <c r="D15" s="6" t="s">
        <v>184</v>
      </c>
      <c r="E15" s="6" t="s">
        <v>90</v>
      </c>
      <c r="F15" s="10">
        <v>3</v>
      </c>
      <c r="G15" s="5" t="s">
        <v>89</v>
      </c>
      <c r="H15" s="5" t="s">
        <v>120</v>
      </c>
      <c r="I15" s="5" t="s">
        <v>121</v>
      </c>
      <c r="J15" s="5" t="s">
        <v>95</v>
      </c>
      <c r="K15" s="8">
        <v>1</v>
      </c>
      <c r="L15" s="8">
        <v>1</v>
      </c>
      <c r="M15" s="8">
        <v>0</v>
      </c>
      <c r="N15" s="8">
        <v>3</v>
      </c>
      <c r="O15" s="8">
        <v>1</v>
      </c>
      <c r="P15" s="5" t="s">
        <v>95</v>
      </c>
      <c r="Q15" s="5" t="s">
        <v>95</v>
      </c>
      <c r="R15" s="5" t="s">
        <v>95</v>
      </c>
      <c r="S15" s="5" t="s">
        <v>172</v>
      </c>
      <c r="T15" s="8">
        <v>1</v>
      </c>
      <c r="U15" s="5"/>
      <c r="V15" s="5" t="s">
        <v>137</v>
      </c>
      <c r="W15" s="5" t="s">
        <v>124</v>
      </c>
      <c r="X15" s="5" t="s">
        <v>100</v>
      </c>
      <c r="Y15" s="5" t="s">
        <v>185</v>
      </c>
      <c r="Z15" s="5" t="s">
        <v>126</v>
      </c>
      <c r="AA15" s="6" t="s">
        <v>186</v>
      </c>
    </row>
    <row r="16" spans="1:27" ht="20" customHeight="1" x14ac:dyDescent="0.2">
      <c r="A16" s="4" t="s">
        <v>86</v>
      </c>
      <c r="B16" s="5" t="s">
        <v>87</v>
      </c>
      <c r="C16" s="6" t="s">
        <v>187</v>
      </c>
      <c r="D16" s="6" t="s">
        <v>188</v>
      </c>
      <c r="E16" s="6" t="s">
        <v>90</v>
      </c>
      <c r="F16" s="10">
        <v>3</v>
      </c>
      <c r="G16" s="5" t="s">
        <v>189</v>
      </c>
      <c r="H16" s="5" t="s">
        <v>107</v>
      </c>
      <c r="I16" s="5" t="s">
        <v>121</v>
      </c>
      <c r="J16" s="5" t="s">
        <v>95</v>
      </c>
      <c r="K16" s="8">
        <v>1</v>
      </c>
      <c r="L16" s="8">
        <v>1</v>
      </c>
      <c r="M16" s="8">
        <v>0</v>
      </c>
      <c r="N16" s="8">
        <v>3</v>
      </c>
      <c r="O16" s="8">
        <v>1</v>
      </c>
      <c r="P16" s="5" t="s">
        <v>94</v>
      </c>
      <c r="Q16" s="5" t="s">
        <v>95</v>
      </c>
      <c r="R16" s="5" t="s">
        <v>95</v>
      </c>
      <c r="S16" s="5" t="s">
        <v>96</v>
      </c>
      <c r="T16" s="8">
        <v>1</v>
      </c>
      <c r="U16" s="5"/>
      <c r="V16" s="5" t="s">
        <v>137</v>
      </c>
      <c r="W16" s="5" t="s">
        <v>124</v>
      </c>
      <c r="X16" s="5" t="s">
        <v>100</v>
      </c>
      <c r="Y16" s="5" t="s">
        <v>166</v>
      </c>
      <c r="Z16" s="5" t="s">
        <v>190</v>
      </c>
      <c r="AA16" s="6" t="s">
        <v>191</v>
      </c>
    </row>
    <row r="17" spans="1:27" ht="20" customHeight="1" x14ac:dyDescent="0.2">
      <c r="A17" s="4" t="s">
        <v>86</v>
      </c>
      <c r="B17" s="5" t="s">
        <v>87</v>
      </c>
      <c r="C17" s="6" t="s">
        <v>192</v>
      </c>
      <c r="D17" s="6" t="s">
        <v>193</v>
      </c>
      <c r="E17" s="6" t="s">
        <v>90</v>
      </c>
      <c r="F17" s="10">
        <v>3</v>
      </c>
      <c r="G17" s="5" t="s">
        <v>89</v>
      </c>
      <c r="H17" s="5" t="s">
        <v>120</v>
      </c>
      <c r="I17" s="5" t="s">
        <v>121</v>
      </c>
      <c r="J17" s="5" t="s">
        <v>95</v>
      </c>
      <c r="K17" s="8">
        <v>1</v>
      </c>
      <c r="L17" s="8">
        <v>1</v>
      </c>
      <c r="M17" s="8">
        <v>0</v>
      </c>
      <c r="N17" s="8">
        <v>3</v>
      </c>
      <c r="O17" s="8">
        <v>1</v>
      </c>
      <c r="P17" s="5" t="s">
        <v>95</v>
      </c>
      <c r="Q17" s="5" t="s">
        <v>95</v>
      </c>
      <c r="R17" s="5" t="s">
        <v>95</v>
      </c>
      <c r="S17" s="5" t="s">
        <v>122</v>
      </c>
      <c r="T17" s="8">
        <v>1</v>
      </c>
      <c r="U17" s="5"/>
      <c r="V17" s="5" t="s">
        <v>137</v>
      </c>
      <c r="W17" s="5" t="s">
        <v>124</v>
      </c>
      <c r="X17" s="5" t="s">
        <v>100</v>
      </c>
      <c r="Y17" s="5" t="s">
        <v>185</v>
      </c>
      <c r="Z17" s="5" t="s">
        <v>194</v>
      </c>
      <c r="AA17" s="6" t="s">
        <v>195</v>
      </c>
    </row>
    <row r="18" spans="1:27" ht="20" customHeight="1" x14ac:dyDescent="0.2">
      <c r="A18" s="4" t="s">
        <v>86</v>
      </c>
      <c r="B18" s="5" t="s">
        <v>87</v>
      </c>
      <c r="C18" s="6" t="s">
        <v>196</v>
      </c>
      <c r="D18" s="6" t="s">
        <v>197</v>
      </c>
      <c r="E18" s="6" t="s">
        <v>90</v>
      </c>
      <c r="F18" s="10">
        <v>3</v>
      </c>
      <c r="G18" s="5" t="s">
        <v>89</v>
      </c>
      <c r="H18" s="5" t="s">
        <v>120</v>
      </c>
      <c r="I18" s="5" t="s">
        <v>121</v>
      </c>
      <c r="J18" s="5" t="s">
        <v>95</v>
      </c>
      <c r="K18" s="8">
        <v>1</v>
      </c>
      <c r="L18" s="8">
        <v>1</v>
      </c>
      <c r="M18" s="8">
        <v>0</v>
      </c>
      <c r="N18" s="8">
        <v>3</v>
      </c>
      <c r="O18" s="8">
        <v>1</v>
      </c>
      <c r="P18" s="5" t="s">
        <v>95</v>
      </c>
      <c r="Q18" s="5" t="s">
        <v>95</v>
      </c>
      <c r="R18" s="5" t="s">
        <v>95</v>
      </c>
      <c r="S18" s="5" t="s">
        <v>122</v>
      </c>
      <c r="T18" s="8">
        <v>1</v>
      </c>
      <c r="U18" s="5"/>
      <c r="V18" s="5" t="s">
        <v>137</v>
      </c>
      <c r="W18" s="5" t="s">
        <v>124</v>
      </c>
      <c r="X18" s="5" t="s">
        <v>100</v>
      </c>
      <c r="Y18" s="5" t="s">
        <v>198</v>
      </c>
      <c r="Z18" s="5" t="s">
        <v>126</v>
      </c>
      <c r="AA18" s="6" t="s">
        <v>199</v>
      </c>
    </row>
    <row r="19" spans="1:27" ht="20" customHeight="1" x14ac:dyDescent="0.2">
      <c r="A19" s="4" t="s">
        <v>86</v>
      </c>
      <c r="B19" s="5" t="s">
        <v>87</v>
      </c>
      <c r="C19" s="6" t="s">
        <v>200</v>
      </c>
      <c r="D19" s="6" t="s">
        <v>201</v>
      </c>
      <c r="E19" s="6" t="s">
        <v>202</v>
      </c>
      <c r="F19" s="7">
        <v>1</v>
      </c>
      <c r="G19" s="5" t="s">
        <v>203</v>
      </c>
      <c r="H19" s="5" t="s">
        <v>120</v>
      </c>
      <c r="I19" s="5" t="s">
        <v>204</v>
      </c>
      <c r="J19" s="5" t="s">
        <v>94</v>
      </c>
      <c r="K19" s="8">
        <v>5</v>
      </c>
      <c r="L19" s="8">
        <v>5</v>
      </c>
      <c r="M19" s="8">
        <v>4</v>
      </c>
      <c r="N19" s="8">
        <v>7</v>
      </c>
      <c r="O19" s="8">
        <v>3</v>
      </c>
      <c r="P19" s="5" t="s">
        <v>95</v>
      </c>
      <c r="Q19" s="5" t="s">
        <v>95</v>
      </c>
      <c r="R19" s="5" t="s">
        <v>94</v>
      </c>
      <c r="S19" s="5" t="s">
        <v>172</v>
      </c>
      <c r="T19" s="8">
        <v>1.5</v>
      </c>
      <c r="U19" s="5" t="s">
        <v>205</v>
      </c>
      <c r="V19" s="5" t="s">
        <v>206</v>
      </c>
      <c r="W19" s="5" t="s">
        <v>207</v>
      </c>
      <c r="X19" s="5" t="s">
        <v>208</v>
      </c>
      <c r="Y19" s="5" t="s">
        <v>209</v>
      </c>
      <c r="Z19" s="5" t="s">
        <v>210</v>
      </c>
      <c r="AA19" s="6" t="s">
        <v>211</v>
      </c>
    </row>
    <row r="20" spans="1:27" ht="20" customHeight="1" x14ac:dyDescent="0.2">
      <c r="A20" s="4" t="s">
        <v>86</v>
      </c>
      <c r="B20" s="5" t="s">
        <v>87</v>
      </c>
      <c r="C20" s="6" t="s">
        <v>212</v>
      </c>
      <c r="D20" s="6" t="s">
        <v>213</v>
      </c>
      <c r="E20" s="6" t="s">
        <v>202</v>
      </c>
      <c r="F20" s="7">
        <v>1</v>
      </c>
      <c r="G20" s="5" t="s">
        <v>214</v>
      </c>
      <c r="H20" s="5" t="s">
        <v>120</v>
      </c>
      <c r="I20" s="5" t="s">
        <v>215</v>
      </c>
      <c r="J20" s="5" t="s">
        <v>95</v>
      </c>
      <c r="K20" s="8">
        <v>5</v>
      </c>
      <c r="L20" s="8">
        <v>5</v>
      </c>
      <c r="M20" s="8">
        <v>4</v>
      </c>
      <c r="N20" s="8">
        <v>7</v>
      </c>
      <c r="O20" s="8">
        <v>3</v>
      </c>
      <c r="P20" s="5" t="s">
        <v>94</v>
      </c>
      <c r="Q20" s="5" t="s">
        <v>94</v>
      </c>
      <c r="R20" s="5" t="s">
        <v>95</v>
      </c>
      <c r="S20" s="5" t="s">
        <v>216</v>
      </c>
      <c r="T20" s="8">
        <v>1.5</v>
      </c>
      <c r="U20" s="5" t="s">
        <v>217</v>
      </c>
      <c r="V20" s="5" t="s">
        <v>206</v>
      </c>
      <c r="W20" s="5" t="s">
        <v>124</v>
      </c>
      <c r="X20" s="5" t="s">
        <v>208</v>
      </c>
      <c r="Y20" s="5" t="s">
        <v>218</v>
      </c>
      <c r="Z20" s="5" t="s">
        <v>219</v>
      </c>
      <c r="AA20" s="6" t="s">
        <v>220</v>
      </c>
    </row>
    <row r="21" spans="1:27" ht="20" customHeight="1" x14ac:dyDescent="0.2">
      <c r="A21" s="4" t="s">
        <v>86</v>
      </c>
      <c r="B21" s="5" t="s">
        <v>87</v>
      </c>
      <c r="C21" s="6" t="s">
        <v>221</v>
      </c>
      <c r="D21" s="6" t="s">
        <v>222</v>
      </c>
      <c r="E21" s="6" t="s">
        <v>202</v>
      </c>
      <c r="F21" s="9">
        <v>2</v>
      </c>
      <c r="G21" s="5" t="s">
        <v>223</v>
      </c>
      <c r="H21" s="5" t="s">
        <v>120</v>
      </c>
      <c r="I21" s="5" t="s">
        <v>121</v>
      </c>
      <c r="J21" s="5" t="s">
        <v>95</v>
      </c>
      <c r="K21" s="8">
        <v>3</v>
      </c>
      <c r="L21" s="8">
        <v>3</v>
      </c>
      <c r="M21" s="8">
        <v>2</v>
      </c>
      <c r="N21" s="8">
        <v>5</v>
      </c>
      <c r="O21" s="8">
        <v>2</v>
      </c>
      <c r="P21" s="5" t="s">
        <v>95</v>
      </c>
      <c r="Q21" s="5" t="s">
        <v>95</v>
      </c>
      <c r="R21" s="5" t="s">
        <v>95</v>
      </c>
      <c r="S21" s="5" t="s">
        <v>172</v>
      </c>
      <c r="T21" s="8">
        <v>1.5</v>
      </c>
      <c r="U21" s="5"/>
      <c r="V21" s="5" t="s">
        <v>224</v>
      </c>
      <c r="W21" s="5" t="s">
        <v>225</v>
      </c>
      <c r="X21" s="5" t="s">
        <v>208</v>
      </c>
      <c r="Y21" s="5" t="s">
        <v>226</v>
      </c>
      <c r="Z21" s="5" t="s">
        <v>227</v>
      </c>
      <c r="AA21" s="6" t="s">
        <v>228</v>
      </c>
    </row>
    <row r="22" spans="1:27" ht="20" customHeight="1" x14ac:dyDescent="0.2">
      <c r="A22" s="4" t="s">
        <v>86</v>
      </c>
      <c r="B22" s="5" t="s">
        <v>87</v>
      </c>
      <c r="C22" s="6" t="s">
        <v>229</v>
      </c>
      <c r="D22" s="6" t="s">
        <v>230</v>
      </c>
      <c r="E22" s="6" t="s">
        <v>202</v>
      </c>
      <c r="F22" s="9">
        <v>2</v>
      </c>
      <c r="G22" s="5" t="s">
        <v>231</v>
      </c>
      <c r="H22" s="5" t="s">
        <v>120</v>
      </c>
      <c r="I22" s="5" t="s">
        <v>121</v>
      </c>
      <c r="J22" s="5" t="s">
        <v>95</v>
      </c>
      <c r="K22" s="8">
        <v>3</v>
      </c>
      <c r="L22" s="8">
        <v>3</v>
      </c>
      <c r="M22" s="8">
        <v>2</v>
      </c>
      <c r="N22" s="8">
        <v>5</v>
      </c>
      <c r="O22" s="8">
        <v>2</v>
      </c>
      <c r="P22" s="5" t="s">
        <v>95</v>
      </c>
      <c r="Q22" s="5" t="s">
        <v>95</v>
      </c>
      <c r="R22" s="5" t="s">
        <v>95</v>
      </c>
      <c r="S22" s="5" t="s">
        <v>232</v>
      </c>
      <c r="T22" s="8">
        <v>1.5</v>
      </c>
      <c r="U22" s="5"/>
      <c r="V22" s="5" t="s">
        <v>233</v>
      </c>
      <c r="W22" s="5" t="s">
        <v>234</v>
      </c>
      <c r="X22" s="5" t="s">
        <v>208</v>
      </c>
      <c r="Y22" s="5" t="s">
        <v>235</v>
      </c>
      <c r="Z22" s="5" t="s">
        <v>236</v>
      </c>
      <c r="AA22" s="6" t="s">
        <v>237</v>
      </c>
    </row>
    <row r="23" spans="1:27" ht="20" customHeight="1" x14ac:dyDescent="0.2">
      <c r="A23" s="4" t="s">
        <v>86</v>
      </c>
      <c r="B23" s="5" t="s">
        <v>87</v>
      </c>
      <c r="C23" s="6" t="s">
        <v>238</v>
      </c>
      <c r="D23" s="6" t="s">
        <v>239</v>
      </c>
      <c r="E23" s="6" t="s">
        <v>202</v>
      </c>
      <c r="F23" s="9">
        <v>2</v>
      </c>
      <c r="G23" s="5" t="s">
        <v>240</v>
      </c>
      <c r="H23" s="5" t="s">
        <v>120</v>
      </c>
      <c r="I23" s="5" t="s">
        <v>121</v>
      </c>
      <c r="J23" s="5" t="s">
        <v>95</v>
      </c>
      <c r="K23" s="8">
        <v>3</v>
      </c>
      <c r="L23" s="8">
        <v>3</v>
      </c>
      <c r="M23" s="8">
        <v>2</v>
      </c>
      <c r="N23" s="8">
        <v>5</v>
      </c>
      <c r="O23" s="8">
        <v>2</v>
      </c>
      <c r="P23" s="5" t="s">
        <v>95</v>
      </c>
      <c r="Q23" s="5" t="s">
        <v>95</v>
      </c>
      <c r="R23" s="5" t="s">
        <v>95</v>
      </c>
      <c r="S23" s="5" t="s">
        <v>172</v>
      </c>
      <c r="T23" s="8">
        <v>1.5</v>
      </c>
      <c r="U23" s="5"/>
      <c r="V23" s="5" t="s">
        <v>241</v>
      </c>
      <c r="W23" s="5" t="s">
        <v>242</v>
      </c>
      <c r="X23" s="5" t="s">
        <v>208</v>
      </c>
      <c r="Y23" s="5" t="s">
        <v>243</v>
      </c>
      <c r="Z23" s="5" t="s">
        <v>244</v>
      </c>
      <c r="AA23" s="6" t="s">
        <v>245</v>
      </c>
    </row>
    <row r="24" spans="1:27" ht="20" customHeight="1" x14ac:dyDescent="0.2">
      <c r="A24" s="4" t="s">
        <v>86</v>
      </c>
      <c r="B24" s="5" t="s">
        <v>87</v>
      </c>
      <c r="C24" s="6" t="s">
        <v>246</v>
      </c>
      <c r="D24" s="6" t="s">
        <v>247</v>
      </c>
      <c r="E24" s="6" t="s">
        <v>202</v>
      </c>
      <c r="F24" s="9">
        <v>2</v>
      </c>
      <c r="G24" s="5" t="s">
        <v>248</v>
      </c>
      <c r="H24" s="5" t="s">
        <v>120</v>
      </c>
      <c r="I24" s="5" t="s">
        <v>121</v>
      </c>
      <c r="J24" s="5" t="s">
        <v>95</v>
      </c>
      <c r="K24" s="8">
        <v>3</v>
      </c>
      <c r="L24" s="8">
        <v>3</v>
      </c>
      <c r="M24" s="8">
        <v>2</v>
      </c>
      <c r="N24" s="8">
        <v>5</v>
      </c>
      <c r="O24" s="8">
        <v>2</v>
      </c>
      <c r="P24" s="5" t="s">
        <v>95</v>
      </c>
      <c r="Q24" s="5" t="s">
        <v>95</v>
      </c>
      <c r="R24" s="5" t="s">
        <v>95</v>
      </c>
      <c r="S24" s="5" t="s">
        <v>172</v>
      </c>
      <c r="T24" s="8">
        <v>1.5</v>
      </c>
      <c r="U24" s="5"/>
      <c r="V24" s="5" t="s">
        <v>249</v>
      </c>
      <c r="W24" s="5" t="s">
        <v>250</v>
      </c>
      <c r="X24" s="5" t="s">
        <v>208</v>
      </c>
      <c r="Y24" s="5" t="s">
        <v>251</v>
      </c>
      <c r="Z24" s="5" t="s">
        <v>252</v>
      </c>
      <c r="AA24" s="6" t="s">
        <v>253</v>
      </c>
    </row>
    <row r="25" spans="1:27" ht="20" customHeight="1" x14ac:dyDescent="0.2">
      <c r="A25" s="4" t="s">
        <v>86</v>
      </c>
      <c r="B25" s="5" t="s">
        <v>87</v>
      </c>
      <c r="C25" s="6" t="s">
        <v>254</v>
      </c>
      <c r="D25" s="6" t="s">
        <v>255</v>
      </c>
      <c r="E25" s="6" t="s">
        <v>202</v>
      </c>
      <c r="F25" s="9">
        <v>2</v>
      </c>
      <c r="G25" s="5" t="s">
        <v>256</v>
      </c>
      <c r="H25" s="5" t="s">
        <v>120</v>
      </c>
      <c r="I25" s="5" t="s">
        <v>121</v>
      </c>
      <c r="J25" s="5" t="s">
        <v>95</v>
      </c>
      <c r="K25" s="8">
        <v>3</v>
      </c>
      <c r="L25" s="8">
        <v>3</v>
      </c>
      <c r="M25" s="8">
        <v>2</v>
      </c>
      <c r="N25" s="8">
        <v>5</v>
      </c>
      <c r="O25" s="8">
        <v>2</v>
      </c>
      <c r="P25" s="5" t="s">
        <v>95</v>
      </c>
      <c r="Q25" s="5" t="s">
        <v>95</v>
      </c>
      <c r="R25" s="5" t="s">
        <v>95</v>
      </c>
      <c r="S25" s="5" t="s">
        <v>122</v>
      </c>
      <c r="T25" s="8">
        <v>1.5</v>
      </c>
      <c r="U25" s="5"/>
      <c r="V25" s="5" t="s">
        <v>257</v>
      </c>
      <c r="W25" s="5" t="s">
        <v>258</v>
      </c>
      <c r="X25" s="5" t="s">
        <v>208</v>
      </c>
      <c r="Y25" s="5" t="s">
        <v>259</v>
      </c>
      <c r="Z25" s="5" t="s">
        <v>260</v>
      </c>
      <c r="AA25" s="6" t="s">
        <v>261</v>
      </c>
    </row>
    <row r="26" spans="1:27" ht="20" customHeight="1" x14ac:dyDescent="0.2">
      <c r="A26" s="4" t="s">
        <v>86</v>
      </c>
      <c r="B26" s="5" t="s">
        <v>87</v>
      </c>
      <c r="C26" s="6" t="s">
        <v>262</v>
      </c>
      <c r="D26" s="6" t="s">
        <v>263</v>
      </c>
      <c r="E26" s="6" t="s">
        <v>202</v>
      </c>
      <c r="F26" s="9">
        <v>2</v>
      </c>
      <c r="G26" s="5" t="s">
        <v>264</v>
      </c>
      <c r="H26" s="5" t="s">
        <v>120</v>
      </c>
      <c r="I26" s="5" t="s">
        <v>121</v>
      </c>
      <c r="J26" s="5" t="s">
        <v>95</v>
      </c>
      <c r="K26" s="8">
        <v>3</v>
      </c>
      <c r="L26" s="8">
        <v>3</v>
      </c>
      <c r="M26" s="8">
        <v>2</v>
      </c>
      <c r="N26" s="8">
        <v>5</v>
      </c>
      <c r="O26" s="8">
        <v>2</v>
      </c>
      <c r="P26" s="5" t="s">
        <v>95</v>
      </c>
      <c r="Q26" s="5" t="s">
        <v>95</v>
      </c>
      <c r="R26" s="5" t="s">
        <v>95</v>
      </c>
      <c r="S26" s="5" t="s">
        <v>172</v>
      </c>
      <c r="T26" s="8">
        <v>1.5</v>
      </c>
      <c r="U26" s="5"/>
      <c r="V26" s="5" t="s">
        <v>265</v>
      </c>
      <c r="W26" s="5" t="s">
        <v>266</v>
      </c>
      <c r="X26" s="5" t="s">
        <v>208</v>
      </c>
      <c r="Y26" s="5" t="s">
        <v>267</v>
      </c>
      <c r="Z26" s="5" t="s">
        <v>268</v>
      </c>
      <c r="AA26" s="6" t="s">
        <v>269</v>
      </c>
    </row>
    <row r="27" spans="1:27" ht="20" customHeight="1" x14ac:dyDescent="0.2">
      <c r="A27" s="4" t="s">
        <v>86</v>
      </c>
      <c r="B27" s="5" t="s">
        <v>87</v>
      </c>
      <c r="C27" s="6" t="s">
        <v>270</v>
      </c>
      <c r="D27" s="6" t="s">
        <v>271</v>
      </c>
      <c r="E27" s="6" t="s">
        <v>202</v>
      </c>
      <c r="F27" s="9">
        <v>2</v>
      </c>
      <c r="G27" s="5" t="s">
        <v>272</v>
      </c>
      <c r="H27" s="5" t="s">
        <v>92</v>
      </c>
      <c r="I27" s="5" t="s">
        <v>121</v>
      </c>
      <c r="J27" s="5" t="s">
        <v>95</v>
      </c>
      <c r="K27" s="8">
        <v>3</v>
      </c>
      <c r="L27" s="8">
        <v>3</v>
      </c>
      <c r="M27" s="8">
        <v>2</v>
      </c>
      <c r="N27" s="8">
        <v>5</v>
      </c>
      <c r="O27" s="8">
        <v>2</v>
      </c>
      <c r="P27" s="5" t="s">
        <v>94</v>
      </c>
      <c r="Q27" s="5" t="s">
        <v>95</v>
      </c>
      <c r="R27" s="5" t="s">
        <v>95</v>
      </c>
      <c r="S27" s="5" t="s">
        <v>109</v>
      </c>
      <c r="T27" s="8">
        <v>1.5</v>
      </c>
      <c r="U27" s="5"/>
      <c r="V27" s="5" t="s">
        <v>273</v>
      </c>
      <c r="W27" s="5" t="s">
        <v>274</v>
      </c>
      <c r="X27" s="5" t="s">
        <v>208</v>
      </c>
      <c r="Y27" s="5" t="s">
        <v>275</v>
      </c>
      <c r="Z27" s="5" t="s">
        <v>276</v>
      </c>
      <c r="AA27" s="6" t="s">
        <v>277</v>
      </c>
    </row>
    <row r="28" spans="1:27" ht="20" customHeight="1" x14ac:dyDescent="0.2">
      <c r="A28" s="4" t="s">
        <v>86</v>
      </c>
      <c r="B28" s="5" t="s">
        <v>87</v>
      </c>
      <c r="C28" s="6" t="s">
        <v>278</v>
      </c>
      <c r="D28" s="6" t="s">
        <v>279</v>
      </c>
      <c r="E28" s="6" t="s">
        <v>202</v>
      </c>
      <c r="F28" s="9">
        <v>2</v>
      </c>
      <c r="G28" s="5" t="s">
        <v>280</v>
      </c>
      <c r="H28" s="5" t="s">
        <v>120</v>
      </c>
      <c r="I28" s="5" t="s">
        <v>121</v>
      </c>
      <c r="J28" s="5" t="s">
        <v>95</v>
      </c>
      <c r="K28" s="8">
        <v>3</v>
      </c>
      <c r="L28" s="8">
        <v>3</v>
      </c>
      <c r="M28" s="8">
        <v>2</v>
      </c>
      <c r="N28" s="8">
        <v>5</v>
      </c>
      <c r="O28" s="8">
        <v>2</v>
      </c>
      <c r="P28" s="5" t="s">
        <v>95</v>
      </c>
      <c r="Q28" s="5" t="s">
        <v>95</v>
      </c>
      <c r="R28" s="5" t="s">
        <v>95</v>
      </c>
      <c r="S28" s="5" t="s">
        <v>216</v>
      </c>
      <c r="T28" s="8">
        <v>1.5</v>
      </c>
      <c r="U28" s="5"/>
      <c r="V28" s="5" t="s">
        <v>281</v>
      </c>
      <c r="W28" s="5" t="s">
        <v>282</v>
      </c>
      <c r="X28" s="5" t="s">
        <v>208</v>
      </c>
      <c r="Y28" s="5" t="s">
        <v>283</v>
      </c>
      <c r="Z28" s="5" t="s">
        <v>284</v>
      </c>
      <c r="AA28" s="6" t="s">
        <v>285</v>
      </c>
    </row>
    <row r="29" spans="1:27" ht="20" customHeight="1" x14ac:dyDescent="0.2">
      <c r="A29" s="4" t="s">
        <v>86</v>
      </c>
      <c r="B29" s="5" t="s">
        <v>87</v>
      </c>
      <c r="C29" s="6" t="s">
        <v>286</v>
      </c>
      <c r="D29" s="6" t="s">
        <v>287</v>
      </c>
      <c r="E29" s="6" t="s">
        <v>202</v>
      </c>
      <c r="F29" s="9">
        <v>2</v>
      </c>
      <c r="G29" s="5" t="s">
        <v>288</v>
      </c>
      <c r="H29" s="5" t="s">
        <v>120</v>
      </c>
      <c r="I29" s="5" t="s">
        <v>121</v>
      </c>
      <c r="J29" s="5" t="s">
        <v>95</v>
      </c>
      <c r="K29" s="8">
        <v>3</v>
      </c>
      <c r="L29" s="8">
        <v>3</v>
      </c>
      <c r="M29" s="8">
        <v>2</v>
      </c>
      <c r="N29" s="8">
        <v>5</v>
      </c>
      <c r="O29" s="8">
        <v>2</v>
      </c>
      <c r="P29" s="5" t="s">
        <v>95</v>
      </c>
      <c r="Q29" s="5" t="s">
        <v>95</v>
      </c>
      <c r="R29" s="5" t="s">
        <v>95</v>
      </c>
      <c r="S29" s="5" t="s">
        <v>172</v>
      </c>
      <c r="T29" s="8">
        <v>1.5</v>
      </c>
      <c r="U29" s="5"/>
      <c r="V29" s="5" t="s">
        <v>289</v>
      </c>
      <c r="W29" s="5" t="s">
        <v>290</v>
      </c>
      <c r="X29" s="5" t="s">
        <v>208</v>
      </c>
      <c r="Y29" s="5" t="s">
        <v>291</v>
      </c>
      <c r="Z29" s="5" t="s">
        <v>292</v>
      </c>
      <c r="AA29" s="6" t="s">
        <v>293</v>
      </c>
    </row>
    <row r="30" spans="1:27" ht="20" customHeight="1" x14ac:dyDescent="0.2">
      <c r="A30" s="4" t="s">
        <v>86</v>
      </c>
      <c r="B30" s="5" t="s">
        <v>87</v>
      </c>
      <c r="C30" s="6" t="s">
        <v>294</v>
      </c>
      <c r="D30" s="6" t="s">
        <v>295</v>
      </c>
      <c r="E30" s="6" t="s">
        <v>202</v>
      </c>
      <c r="F30" s="9">
        <v>2</v>
      </c>
      <c r="G30" s="5" t="s">
        <v>296</v>
      </c>
      <c r="H30" s="5" t="s">
        <v>120</v>
      </c>
      <c r="I30" s="5" t="s">
        <v>121</v>
      </c>
      <c r="J30" s="5" t="s">
        <v>95</v>
      </c>
      <c r="K30" s="8">
        <v>3</v>
      </c>
      <c r="L30" s="8">
        <v>3</v>
      </c>
      <c r="M30" s="8">
        <v>2</v>
      </c>
      <c r="N30" s="8">
        <v>5</v>
      </c>
      <c r="O30" s="8">
        <v>2</v>
      </c>
      <c r="P30" s="5" t="s">
        <v>95</v>
      </c>
      <c r="Q30" s="5" t="s">
        <v>95</v>
      </c>
      <c r="R30" s="5" t="s">
        <v>95</v>
      </c>
      <c r="S30" s="5" t="s">
        <v>122</v>
      </c>
      <c r="T30" s="8">
        <v>1.5</v>
      </c>
      <c r="U30" s="5"/>
      <c r="V30" s="5" t="s">
        <v>297</v>
      </c>
      <c r="W30" s="5" t="s">
        <v>298</v>
      </c>
      <c r="X30" s="5" t="s">
        <v>208</v>
      </c>
      <c r="Y30" s="5" t="s">
        <v>259</v>
      </c>
      <c r="Z30" s="5" t="s">
        <v>299</v>
      </c>
      <c r="AA30" s="6" t="s">
        <v>300</v>
      </c>
    </row>
    <row r="31" spans="1:27" ht="20" customHeight="1" x14ac:dyDescent="0.2">
      <c r="A31" s="4" t="s">
        <v>86</v>
      </c>
      <c r="B31" s="5" t="s">
        <v>87</v>
      </c>
      <c r="C31" s="6" t="s">
        <v>301</v>
      </c>
      <c r="D31" s="6" t="s">
        <v>302</v>
      </c>
      <c r="E31" s="6" t="s">
        <v>202</v>
      </c>
      <c r="F31" s="9">
        <v>2</v>
      </c>
      <c r="G31" s="5" t="s">
        <v>272</v>
      </c>
      <c r="H31" s="5" t="s">
        <v>92</v>
      </c>
      <c r="I31" s="5" t="s">
        <v>121</v>
      </c>
      <c r="J31" s="5" t="s">
        <v>95</v>
      </c>
      <c r="K31" s="8">
        <v>3</v>
      </c>
      <c r="L31" s="8">
        <v>3</v>
      </c>
      <c r="M31" s="8">
        <v>2</v>
      </c>
      <c r="N31" s="8">
        <v>5</v>
      </c>
      <c r="O31" s="8">
        <v>2</v>
      </c>
      <c r="P31" s="5" t="s">
        <v>94</v>
      </c>
      <c r="Q31" s="5" t="s">
        <v>95</v>
      </c>
      <c r="R31" s="5" t="s">
        <v>95</v>
      </c>
      <c r="S31" s="5" t="s">
        <v>96</v>
      </c>
      <c r="T31" s="8">
        <v>1.5</v>
      </c>
      <c r="U31" s="5"/>
      <c r="V31" s="5" t="s">
        <v>206</v>
      </c>
      <c r="W31" s="5" t="s">
        <v>124</v>
      </c>
      <c r="X31" s="5" t="s">
        <v>208</v>
      </c>
      <c r="Y31" s="5" t="s">
        <v>303</v>
      </c>
      <c r="Z31" s="5" t="s">
        <v>304</v>
      </c>
      <c r="AA31" s="6" t="s">
        <v>305</v>
      </c>
    </row>
    <row r="32" spans="1:27" ht="20" customHeight="1" x14ac:dyDescent="0.2">
      <c r="A32" s="4" t="s">
        <v>86</v>
      </c>
      <c r="B32" s="5" t="s">
        <v>87</v>
      </c>
      <c r="C32" s="6" t="s">
        <v>306</v>
      </c>
      <c r="D32" s="6" t="s">
        <v>307</v>
      </c>
      <c r="E32" s="6" t="s">
        <v>202</v>
      </c>
      <c r="F32" s="10">
        <v>3</v>
      </c>
      <c r="G32" s="5" t="s">
        <v>308</v>
      </c>
      <c r="H32" s="5" t="s">
        <v>120</v>
      </c>
      <c r="I32" s="5" t="s">
        <v>121</v>
      </c>
      <c r="J32" s="5" t="s">
        <v>95</v>
      </c>
      <c r="K32" s="8">
        <v>1</v>
      </c>
      <c r="L32" s="8">
        <v>1</v>
      </c>
      <c r="M32" s="8">
        <v>0</v>
      </c>
      <c r="N32" s="8">
        <v>3</v>
      </c>
      <c r="O32" s="8">
        <v>1</v>
      </c>
      <c r="P32" s="5" t="s">
        <v>95</v>
      </c>
      <c r="Q32" s="5" t="s">
        <v>95</v>
      </c>
      <c r="R32" s="5" t="s">
        <v>95</v>
      </c>
      <c r="S32" s="5" t="s">
        <v>232</v>
      </c>
      <c r="T32" s="8">
        <v>2</v>
      </c>
      <c r="U32" s="5"/>
      <c r="V32" s="5" t="s">
        <v>309</v>
      </c>
      <c r="W32" s="5" t="s">
        <v>124</v>
      </c>
      <c r="X32" s="5" t="s">
        <v>208</v>
      </c>
      <c r="Y32" s="5" t="s">
        <v>310</v>
      </c>
      <c r="Z32" s="5" t="s">
        <v>311</v>
      </c>
      <c r="AA32" s="6" t="s">
        <v>312</v>
      </c>
    </row>
    <row r="33" spans="1:27" ht="20" customHeight="1" x14ac:dyDescent="0.2">
      <c r="A33" s="4" t="s">
        <v>86</v>
      </c>
      <c r="B33" s="5" t="s">
        <v>87</v>
      </c>
      <c r="C33" s="6" t="s">
        <v>313</v>
      </c>
      <c r="D33" s="6" t="s">
        <v>314</v>
      </c>
      <c r="E33" s="6" t="s">
        <v>202</v>
      </c>
      <c r="F33" s="10">
        <v>3</v>
      </c>
      <c r="G33" s="5" t="s">
        <v>315</v>
      </c>
      <c r="H33" s="5" t="s">
        <v>120</v>
      </c>
      <c r="I33" s="5" t="s">
        <v>121</v>
      </c>
      <c r="J33" s="5" t="s">
        <v>95</v>
      </c>
      <c r="K33" s="8">
        <v>1</v>
      </c>
      <c r="L33" s="8">
        <v>1</v>
      </c>
      <c r="M33" s="8">
        <v>0</v>
      </c>
      <c r="N33" s="8">
        <v>3</v>
      </c>
      <c r="O33" s="8">
        <v>1</v>
      </c>
      <c r="P33" s="5" t="s">
        <v>95</v>
      </c>
      <c r="Q33" s="5" t="s">
        <v>95</v>
      </c>
      <c r="R33" s="5" t="s">
        <v>95</v>
      </c>
      <c r="S33" s="5" t="s">
        <v>316</v>
      </c>
      <c r="T33" s="8">
        <v>2</v>
      </c>
      <c r="U33" s="5"/>
      <c r="V33" s="5" t="s">
        <v>317</v>
      </c>
      <c r="W33" s="5" t="s">
        <v>124</v>
      </c>
      <c r="X33" s="5" t="s">
        <v>208</v>
      </c>
      <c r="Y33" s="5" t="s">
        <v>318</v>
      </c>
      <c r="Z33" s="5" t="s">
        <v>319</v>
      </c>
      <c r="AA33" s="6" t="s">
        <v>320</v>
      </c>
    </row>
    <row r="34" spans="1:27" ht="20" customHeight="1" x14ac:dyDescent="0.2">
      <c r="A34" s="4" t="s">
        <v>86</v>
      </c>
      <c r="B34" s="5" t="s">
        <v>87</v>
      </c>
      <c r="C34" s="6" t="s">
        <v>321</v>
      </c>
      <c r="D34" s="6" t="s">
        <v>322</v>
      </c>
      <c r="E34" s="6" t="s">
        <v>202</v>
      </c>
      <c r="F34" s="10">
        <v>3</v>
      </c>
      <c r="G34" s="5" t="s">
        <v>323</v>
      </c>
      <c r="H34" s="5" t="s">
        <v>120</v>
      </c>
      <c r="I34" s="5" t="s">
        <v>121</v>
      </c>
      <c r="J34" s="5" t="s">
        <v>95</v>
      </c>
      <c r="K34" s="8">
        <v>1</v>
      </c>
      <c r="L34" s="8">
        <v>1</v>
      </c>
      <c r="M34" s="8">
        <v>0</v>
      </c>
      <c r="N34" s="8">
        <v>3</v>
      </c>
      <c r="O34" s="8">
        <v>1</v>
      </c>
      <c r="P34" s="5" t="s">
        <v>95</v>
      </c>
      <c r="Q34" s="5" t="s">
        <v>95</v>
      </c>
      <c r="R34" s="5" t="s">
        <v>95</v>
      </c>
      <c r="S34" s="5" t="s">
        <v>172</v>
      </c>
      <c r="T34" s="8">
        <v>1.5</v>
      </c>
      <c r="U34" s="5"/>
      <c r="V34" s="5" t="s">
        <v>137</v>
      </c>
      <c r="W34" s="5" t="s">
        <v>124</v>
      </c>
      <c r="X34" s="5" t="s">
        <v>208</v>
      </c>
      <c r="Y34" s="5" t="s">
        <v>243</v>
      </c>
      <c r="Z34" s="5" t="s">
        <v>126</v>
      </c>
      <c r="AA34" s="6" t="s">
        <v>324</v>
      </c>
    </row>
    <row r="35" spans="1:27" ht="20" customHeight="1" x14ac:dyDescent="0.2">
      <c r="A35" s="4" t="s">
        <v>86</v>
      </c>
      <c r="B35" s="5" t="s">
        <v>87</v>
      </c>
      <c r="C35" s="6" t="s">
        <v>325</v>
      </c>
      <c r="D35" s="6" t="s">
        <v>326</v>
      </c>
      <c r="E35" s="6" t="s">
        <v>202</v>
      </c>
      <c r="F35" s="10">
        <v>3</v>
      </c>
      <c r="G35" s="5" t="s">
        <v>256</v>
      </c>
      <c r="H35" s="5" t="s">
        <v>120</v>
      </c>
      <c r="I35" s="5" t="s">
        <v>121</v>
      </c>
      <c r="J35" s="5" t="s">
        <v>95</v>
      </c>
      <c r="K35" s="8">
        <v>1</v>
      </c>
      <c r="L35" s="8">
        <v>1</v>
      </c>
      <c r="M35" s="8">
        <v>0</v>
      </c>
      <c r="N35" s="8">
        <v>3</v>
      </c>
      <c r="O35" s="8">
        <v>1</v>
      </c>
      <c r="P35" s="5" t="s">
        <v>95</v>
      </c>
      <c r="Q35" s="5" t="s">
        <v>95</v>
      </c>
      <c r="R35" s="5" t="s">
        <v>95</v>
      </c>
      <c r="S35" s="5" t="s">
        <v>327</v>
      </c>
      <c r="T35" s="8">
        <v>1.5</v>
      </c>
      <c r="U35" s="5"/>
      <c r="V35" s="5" t="s">
        <v>137</v>
      </c>
      <c r="W35" s="5" t="s">
        <v>124</v>
      </c>
      <c r="X35" s="5" t="s">
        <v>208</v>
      </c>
      <c r="Y35" s="5" t="s">
        <v>328</v>
      </c>
      <c r="Z35" s="5" t="s">
        <v>329</v>
      </c>
      <c r="AA35" s="6" t="s">
        <v>330</v>
      </c>
    </row>
    <row r="36" spans="1:27" ht="20" customHeight="1" x14ac:dyDescent="0.2">
      <c r="A36" s="4" t="s">
        <v>86</v>
      </c>
      <c r="B36" s="5" t="s">
        <v>87</v>
      </c>
      <c r="C36" s="6" t="s">
        <v>331</v>
      </c>
      <c r="D36" s="6" t="s">
        <v>332</v>
      </c>
      <c r="E36" s="6" t="s">
        <v>202</v>
      </c>
      <c r="F36" s="10">
        <v>3</v>
      </c>
      <c r="G36" s="5" t="s">
        <v>315</v>
      </c>
      <c r="H36" s="5" t="s">
        <v>120</v>
      </c>
      <c r="I36" s="5" t="s">
        <v>121</v>
      </c>
      <c r="J36" s="5" t="s">
        <v>95</v>
      </c>
      <c r="K36" s="8">
        <v>1</v>
      </c>
      <c r="L36" s="8">
        <v>1</v>
      </c>
      <c r="M36" s="8">
        <v>0</v>
      </c>
      <c r="N36" s="8">
        <v>3</v>
      </c>
      <c r="O36" s="8">
        <v>1</v>
      </c>
      <c r="P36" s="5" t="s">
        <v>95</v>
      </c>
      <c r="Q36" s="5" t="s">
        <v>95</v>
      </c>
      <c r="R36" s="5" t="s">
        <v>95</v>
      </c>
      <c r="S36" s="5" t="s">
        <v>232</v>
      </c>
      <c r="T36" s="8">
        <v>1.5</v>
      </c>
      <c r="U36" s="5"/>
      <c r="V36" s="5" t="s">
        <v>137</v>
      </c>
      <c r="W36" s="5" t="s">
        <v>124</v>
      </c>
      <c r="X36" s="5" t="s">
        <v>208</v>
      </c>
      <c r="Y36" s="5" t="s">
        <v>333</v>
      </c>
      <c r="Z36" s="5" t="s">
        <v>334</v>
      </c>
      <c r="AA36" s="6" t="s">
        <v>335</v>
      </c>
    </row>
    <row r="37" spans="1:27" ht="20" customHeight="1" x14ac:dyDescent="0.2">
      <c r="A37" s="4" t="s">
        <v>86</v>
      </c>
      <c r="B37" s="5" t="s">
        <v>87</v>
      </c>
      <c r="C37" s="6" t="s">
        <v>336</v>
      </c>
      <c r="D37" s="6" t="s">
        <v>337</v>
      </c>
      <c r="E37" s="6" t="s">
        <v>202</v>
      </c>
      <c r="F37" s="10">
        <v>3</v>
      </c>
      <c r="G37" s="5" t="s">
        <v>338</v>
      </c>
      <c r="H37" s="5" t="s">
        <v>107</v>
      </c>
      <c r="I37" s="5" t="s">
        <v>121</v>
      </c>
      <c r="J37" s="5" t="s">
        <v>95</v>
      </c>
      <c r="K37" s="8">
        <v>1</v>
      </c>
      <c r="L37" s="8">
        <v>1</v>
      </c>
      <c r="M37" s="8">
        <v>0</v>
      </c>
      <c r="N37" s="8">
        <v>3</v>
      </c>
      <c r="O37" s="8">
        <v>1</v>
      </c>
      <c r="P37" s="5" t="s">
        <v>94</v>
      </c>
      <c r="Q37" s="5" t="s">
        <v>95</v>
      </c>
      <c r="R37" s="5" t="s">
        <v>95</v>
      </c>
      <c r="S37" s="5" t="s">
        <v>96</v>
      </c>
      <c r="T37" s="8">
        <v>1.5</v>
      </c>
      <c r="U37" s="5"/>
      <c r="V37" s="5" t="s">
        <v>137</v>
      </c>
      <c r="W37" s="5" t="s">
        <v>124</v>
      </c>
      <c r="X37" s="5" t="s">
        <v>208</v>
      </c>
      <c r="Y37" s="5" t="s">
        <v>303</v>
      </c>
      <c r="Z37" s="5" t="s">
        <v>339</v>
      </c>
      <c r="AA37" s="6" t="s">
        <v>340</v>
      </c>
    </row>
    <row r="38" spans="1:27" ht="20" customHeight="1" x14ac:dyDescent="0.2">
      <c r="A38" s="4" t="s">
        <v>86</v>
      </c>
      <c r="B38" s="5" t="s">
        <v>87</v>
      </c>
      <c r="C38" s="6" t="s">
        <v>341</v>
      </c>
      <c r="D38" s="6" t="s">
        <v>342</v>
      </c>
      <c r="E38" s="6" t="s">
        <v>202</v>
      </c>
      <c r="F38" s="10">
        <v>3</v>
      </c>
      <c r="G38" s="5" t="s">
        <v>343</v>
      </c>
      <c r="H38" s="5" t="s">
        <v>107</v>
      </c>
      <c r="I38" s="5" t="s">
        <v>121</v>
      </c>
      <c r="J38" s="5" t="s">
        <v>95</v>
      </c>
      <c r="K38" s="8">
        <v>1</v>
      </c>
      <c r="L38" s="8">
        <v>1</v>
      </c>
      <c r="M38" s="8">
        <v>0</v>
      </c>
      <c r="N38" s="8">
        <v>3</v>
      </c>
      <c r="O38" s="8">
        <v>1</v>
      </c>
      <c r="P38" s="5" t="s">
        <v>94</v>
      </c>
      <c r="Q38" s="5" t="s">
        <v>95</v>
      </c>
      <c r="R38" s="5" t="s">
        <v>95</v>
      </c>
      <c r="S38" s="5" t="s">
        <v>109</v>
      </c>
      <c r="T38" s="8">
        <v>1.5</v>
      </c>
      <c r="U38" s="5"/>
      <c r="V38" s="5" t="s">
        <v>137</v>
      </c>
      <c r="W38" s="5" t="s">
        <v>124</v>
      </c>
      <c r="X38" s="5" t="s">
        <v>208</v>
      </c>
      <c r="Y38" s="5" t="s">
        <v>344</v>
      </c>
      <c r="Z38" s="5" t="s">
        <v>345</v>
      </c>
      <c r="AA38" s="6" t="s">
        <v>346</v>
      </c>
    </row>
    <row r="39" spans="1:27" ht="20" customHeight="1" x14ac:dyDescent="0.2">
      <c r="A39" s="4" t="s">
        <v>86</v>
      </c>
      <c r="B39" s="5" t="s">
        <v>87</v>
      </c>
      <c r="C39" s="6" t="s">
        <v>347</v>
      </c>
      <c r="D39" s="6" t="s">
        <v>348</v>
      </c>
      <c r="E39" s="6" t="s">
        <v>202</v>
      </c>
      <c r="F39" s="10">
        <v>3</v>
      </c>
      <c r="G39" s="5" t="s">
        <v>315</v>
      </c>
      <c r="H39" s="5" t="s">
        <v>120</v>
      </c>
      <c r="I39" s="5" t="s">
        <v>121</v>
      </c>
      <c r="J39" s="5" t="s">
        <v>95</v>
      </c>
      <c r="K39" s="8">
        <v>1</v>
      </c>
      <c r="L39" s="8">
        <v>1</v>
      </c>
      <c r="M39" s="8">
        <v>0</v>
      </c>
      <c r="N39" s="8">
        <v>3</v>
      </c>
      <c r="O39" s="8">
        <v>1</v>
      </c>
      <c r="P39" s="5" t="s">
        <v>95</v>
      </c>
      <c r="Q39" s="5" t="s">
        <v>95</v>
      </c>
      <c r="R39" s="5" t="s">
        <v>95</v>
      </c>
      <c r="S39" s="5" t="s">
        <v>316</v>
      </c>
      <c r="T39" s="8">
        <v>2</v>
      </c>
      <c r="U39" s="5"/>
      <c r="V39" s="5" t="s">
        <v>137</v>
      </c>
      <c r="W39" s="5" t="s">
        <v>124</v>
      </c>
      <c r="X39" s="5" t="s">
        <v>208</v>
      </c>
      <c r="Y39" s="5" t="s">
        <v>318</v>
      </c>
      <c r="Z39" s="5" t="s">
        <v>319</v>
      </c>
      <c r="AA39" s="6" t="s">
        <v>349</v>
      </c>
    </row>
    <row r="40" spans="1:27" ht="20" customHeight="1" x14ac:dyDescent="0.2">
      <c r="A40" s="4" t="s">
        <v>86</v>
      </c>
      <c r="B40" s="5" t="s">
        <v>87</v>
      </c>
      <c r="C40" s="6" t="s">
        <v>350</v>
      </c>
      <c r="D40" s="6" t="s">
        <v>351</v>
      </c>
      <c r="E40" s="6" t="s">
        <v>202</v>
      </c>
      <c r="F40" s="10">
        <v>3</v>
      </c>
      <c r="G40" s="5" t="s">
        <v>352</v>
      </c>
      <c r="H40" s="5" t="s">
        <v>120</v>
      </c>
      <c r="I40" s="5" t="s">
        <v>121</v>
      </c>
      <c r="J40" s="5" t="s">
        <v>95</v>
      </c>
      <c r="K40" s="8">
        <v>1</v>
      </c>
      <c r="L40" s="8">
        <v>1</v>
      </c>
      <c r="M40" s="8">
        <v>0</v>
      </c>
      <c r="N40" s="8">
        <v>3</v>
      </c>
      <c r="O40" s="8">
        <v>1</v>
      </c>
      <c r="P40" s="5" t="s">
        <v>95</v>
      </c>
      <c r="Q40" s="5" t="s">
        <v>95</v>
      </c>
      <c r="R40" s="5" t="s">
        <v>95</v>
      </c>
      <c r="S40" s="5" t="s">
        <v>172</v>
      </c>
      <c r="T40" s="8">
        <v>1.5</v>
      </c>
      <c r="U40" s="5"/>
      <c r="V40" s="5" t="s">
        <v>137</v>
      </c>
      <c r="W40" s="5" t="s">
        <v>124</v>
      </c>
      <c r="X40" s="5" t="s">
        <v>208</v>
      </c>
      <c r="Y40" s="5" t="s">
        <v>251</v>
      </c>
      <c r="Z40" s="5" t="s">
        <v>353</v>
      </c>
      <c r="AA40" s="6" t="s">
        <v>354</v>
      </c>
    </row>
    <row r="41" spans="1:27" ht="20" customHeight="1" x14ac:dyDescent="0.2">
      <c r="A41" s="4" t="s">
        <v>86</v>
      </c>
      <c r="B41" s="5" t="s">
        <v>87</v>
      </c>
      <c r="C41" s="6" t="s">
        <v>355</v>
      </c>
      <c r="D41" s="6" t="s">
        <v>356</v>
      </c>
      <c r="E41" s="6" t="s">
        <v>202</v>
      </c>
      <c r="F41" s="10">
        <v>3</v>
      </c>
      <c r="G41" s="5" t="s">
        <v>357</v>
      </c>
      <c r="H41" s="5" t="s">
        <v>120</v>
      </c>
      <c r="I41" s="5" t="s">
        <v>121</v>
      </c>
      <c r="J41" s="5" t="s">
        <v>95</v>
      </c>
      <c r="K41" s="8">
        <v>1</v>
      </c>
      <c r="L41" s="8">
        <v>1</v>
      </c>
      <c r="M41" s="8">
        <v>0</v>
      </c>
      <c r="N41" s="8">
        <v>3</v>
      </c>
      <c r="O41" s="8">
        <v>1</v>
      </c>
      <c r="P41" s="5" t="s">
        <v>95</v>
      </c>
      <c r="Q41" s="5" t="s">
        <v>95</v>
      </c>
      <c r="R41" s="5" t="s">
        <v>95</v>
      </c>
      <c r="S41" s="5" t="s">
        <v>172</v>
      </c>
      <c r="T41" s="8">
        <v>1.5</v>
      </c>
      <c r="U41" s="5"/>
      <c r="V41" s="5" t="s">
        <v>137</v>
      </c>
      <c r="W41" s="5" t="s">
        <v>124</v>
      </c>
      <c r="X41" s="5" t="s">
        <v>208</v>
      </c>
      <c r="Y41" s="5" t="s">
        <v>358</v>
      </c>
      <c r="Z41" s="5" t="s">
        <v>359</v>
      </c>
      <c r="AA41" s="6" t="s">
        <v>360</v>
      </c>
    </row>
    <row r="42" spans="1:27" ht="20" customHeight="1" x14ac:dyDescent="0.2">
      <c r="A42" s="4" t="s">
        <v>86</v>
      </c>
      <c r="B42" s="5" t="s">
        <v>87</v>
      </c>
      <c r="C42" s="6" t="s">
        <v>361</v>
      </c>
      <c r="D42" s="6" t="s">
        <v>362</v>
      </c>
      <c r="E42" s="6" t="s">
        <v>202</v>
      </c>
      <c r="F42" s="10">
        <v>3</v>
      </c>
      <c r="G42" s="5" t="s">
        <v>363</v>
      </c>
      <c r="H42" s="5" t="s">
        <v>120</v>
      </c>
      <c r="I42" s="5" t="s">
        <v>121</v>
      </c>
      <c r="J42" s="5" t="s">
        <v>95</v>
      </c>
      <c r="K42" s="8">
        <v>1</v>
      </c>
      <c r="L42" s="8">
        <v>1</v>
      </c>
      <c r="M42" s="8">
        <v>0</v>
      </c>
      <c r="N42" s="8">
        <v>3</v>
      </c>
      <c r="O42" s="8">
        <v>1</v>
      </c>
      <c r="P42" s="5" t="s">
        <v>95</v>
      </c>
      <c r="Q42" s="5" t="s">
        <v>95</v>
      </c>
      <c r="R42" s="5" t="s">
        <v>95</v>
      </c>
      <c r="S42" s="5" t="s">
        <v>232</v>
      </c>
      <c r="T42" s="8">
        <v>1.5</v>
      </c>
      <c r="U42" s="5"/>
      <c r="V42" s="5" t="s">
        <v>137</v>
      </c>
      <c r="W42" s="5" t="s">
        <v>124</v>
      </c>
      <c r="X42" s="5" t="s">
        <v>208</v>
      </c>
      <c r="Y42" s="5" t="s">
        <v>235</v>
      </c>
      <c r="Z42" s="5" t="s">
        <v>364</v>
      </c>
      <c r="AA42" s="6" t="s">
        <v>365</v>
      </c>
    </row>
    <row r="43" spans="1:27" ht="20" customHeight="1" x14ac:dyDescent="0.2">
      <c r="A43" s="4" t="s">
        <v>86</v>
      </c>
      <c r="B43" s="5" t="s">
        <v>87</v>
      </c>
      <c r="C43" s="6" t="s">
        <v>366</v>
      </c>
      <c r="D43" s="6" t="s">
        <v>367</v>
      </c>
      <c r="E43" s="6" t="s">
        <v>202</v>
      </c>
      <c r="F43" s="10">
        <v>3</v>
      </c>
      <c r="G43" s="5" t="s">
        <v>256</v>
      </c>
      <c r="H43" s="5" t="s">
        <v>120</v>
      </c>
      <c r="I43" s="5" t="s">
        <v>121</v>
      </c>
      <c r="J43" s="5" t="s">
        <v>95</v>
      </c>
      <c r="K43" s="8">
        <v>1</v>
      </c>
      <c r="L43" s="8">
        <v>1</v>
      </c>
      <c r="M43" s="8">
        <v>0</v>
      </c>
      <c r="N43" s="8">
        <v>3</v>
      </c>
      <c r="O43" s="8">
        <v>1</v>
      </c>
      <c r="P43" s="5" t="s">
        <v>95</v>
      </c>
      <c r="Q43" s="5" t="s">
        <v>95</v>
      </c>
      <c r="R43" s="5" t="s">
        <v>95</v>
      </c>
      <c r="S43" s="5" t="s">
        <v>172</v>
      </c>
      <c r="T43" s="8">
        <v>1.5</v>
      </c>
      <c r="U43" s="5"/>
      <c r="V43" s="5" t="s">
        <v>137</v>
      </c>
      <c r="W43" s="5" t="s">
        <v>124</v>
      </c>
      <c r="X43" s="5" t="s">
        <v>208</v>
      </c>
      <c r="Y43" s="5" t="s">
        <v>243</v>
      </c>
      <c r="Z43" s="5" t="s">
        <v>368</v>
      </c>
      <c r="AA43" s="6" t="s">
        <v>369</v>
      </c>
    </row>
    <row r="44" spans="1:27" ht="20" customHeight="1" x14ac:dyDescent="0.2">
      <c r="A44" s="4" t="s">
        <v>86</v>
      </c>
      <c r="B44" s="5" t="s">
        <v>87</v>
      </c>
      <c r="C44" s="6" t="s">
        <v>370</v>
      </c>
      <c r="D44" s="6" t="s">
        <v>371</v>
      </c>
      <c r="E44" s="6" t="s">
        <v>202</v>
      </c>
      <c r="F44" s="10">
        <v>3</v>
      </c>
      <c r="G44" s="5" t="s">
        <v>372</v>
      </c>
      <c r="H44" s="5" t="s">
        <v>120</v>
      </c>
      <c r="I44" s="5" t="s">
        <v>121</v>
      </c>
      <c r="J44" s="5" t="s">
        <v>95</v>
      </c>
      <c r="K44" s="8">
        <v>1</v>
      </c>
      <c r="L44" s="8">
        <v>1</v>
      </c>
      <c r="M44" s="8">
        <v>0</v>
      </c>
      <c r="N44" s="8">
        <v>3</v>
      </c>
      <c r="O44" s="8">
        <v>1</v>
      </c>
      <c r="P44" s="5" t="s">
        <v>95</v>
      </c>
      <c r="Q44" s="5" t="s">
        <v>95</v>
      </c>
      <c r="R44" s="5" t="s">
        <v>95</v>
      </c>
      <c r="S44" s="5" t="s">
        <v>327</v>
      </c>
      <c r="T44" s="8">
        <v>1.5</v>
      </c>
      <c r="U44" s="5"/>
      <c r="V44" s="5" t="s">
        <v>137</v>
      </c>
      <c r="W44" s="5" t="s">
        <v>124</v>
      </c>
      <c r="X44" s="5" t="s">
        <v>208</v>
      </c>
      <c r="Y44" s="5" t="s">
        <v>328</v>
      </c>
      <c r="Z44" s="5" t="s">
        <v>373</v>
      </c>
      <c r="AA44" s="6" t="s">
        <v>374</v>
      </c>
    </row>
    <row r="45" spans="1:27" ht="20" customHeight="1" x14ac:dyDescent="0.2">
      <c r="A45" s="4" t="s">
        <v>86</v>
      </c>
      <c r="B45" s="5" t="s">
        <v>87</v>
      </c>
      <c r="C45" s="6" t="s">
        <v>375</v>
      </c>
      <c r="D45" s="6" t="s">
        <v>376</v>
      </c>
      <c r="E45" s="6" t="s">
        <v>202</v>
      </c>
      <c r="F45" s="10">
        <v>3</v>
      </c>
      <c r="G45" s="5" t="s">
        <v>377</v>
      </c>
      <c r="H45" s="5" t="s">
        <v>120</v>
      </c>
      <c r="I45" s="5" t="s">
        <v>121</v>
      </c>
      <c r="J45" s="5" t="s">
        <v>95</v>
      </c>
      <c r="K45" s="8">
        <v>1</v>
      </c>
      <c r="L45" s="8">
        <v>1</v>
      </c>
      <c r="M45" s="8">
        <v>0</v>
      </c>
      <c r="N45" s="8">
        <v>3</v>
      </c>
      <c r="O45" s="8">
        <v>1</v>
      </c>
      <c r="P45" s="5" t="s">
        <v>95</v>
      </c>
      <c r="Q45" s="5" t="s">
        <v>95</v>
      </c>
      <c r="R45" s="5" t="s">
        <v>95</v>
      </c>
      <c r="S45" s="5" t="s">
        <v>316</v>
      </c>
      <c r="T45" s="8">
        <v>2</v>
      </c>
      <c r="U45" s="5"/>
      <c r="V45" s="5" t="s">
        <v>137</v>
      </c>
      <c r="W45" s="5" t="s">
        <v>124</v>
      </c>
      <c r="X45" s="5" t="s">
        <v>208</v>
      </c>
      <c r="Y45" s="5" t="s">
        <v>318</v>
      </c>
      <c r="Z45" s="5" t="s">
        <v>378</v>
      </c>
      <c r="AA45" s="6" t="s">
        <v>379</v>
      </c>
    </row>
    <row r="46" spans="1:27" ht="20" customHeight="1" x14ac:dyDescent="0.2">
      <c r="A46" s="4" t="s">
        <v>86</v>
      </c>
      <c r="B46" s="5" t="s">
        <v>87</v>
      </c>
      <c r="C46" s="6" t="s">
        <v>380</v>
      </c>
      <c r="D46" s="6" t="s">
        <v>381</v>
      </c>
      <c r="E46" s="6" t="s">
        <v>382</v>
      </c>
      <c r="F46" s="7">
        <v>1</v>
      </c>
      <c r="G46" s="5" t="s">
        <v>383</v>
      </c>
      <c r="H46" s="5" t="s">
        <v>92</v>
      </c>
      <c r="I46" s="5" t="s">
        <v>384</v>
      </c>
      <c r="J46" s="5" t="s">
        <v>95</v>
      </c>
      <c r="K46" s="8">
        <v>5</v>
      </c>
      <c r="L46" s="8">
        <v>5</v>
      </c>
      <c r="M46" s="8">
        <v>4</v>
      </c>
      <c r="N46" s="8">
        <v>7</v>
      </c>
      <c r="O46" s="8">
        <v>3</v>
      </c>
      <c r="P46" s="5" t="s">
        <v>95</v>
      </c>
      <c r="Q46" s="5" t="s">
        <v>95</v>
      </c>
      <c r="R46" s="5" t="s">
        <v>94</v>
      </c>
      <c r="S46" s="5" t="s">
        <v>385</v>
      </c>
      <c r="T46" s="8">
        <v>1</v>
      </c>
      <c r="U46" s="5" t="s">
        <v>386</v>
      </c>
      <c r="V46" s="5" t="s">
        <v>387</v>
      </c>
      <c r="W46" s="5" t="s">
        <v>388</v>
      </c>
      <c r="X46" s="5" t="s">
        <v>100</v>
      </c>
      <c r="Y46" s="5" t="s">
        <v>389</v>
      </c>
      <c r="Z46" s="5" t="s">
        <v>390</v>
      </c>
      <c r="AA46" s="6" t="s">
        <v>391</v>
      </c>
    </row>
    <row r="47" spans="1:27" ht="20" customHeight="1" x14ac:dyDescent="0.2">
      <c r="A47" s="4" t="s">
        <v>86</v>
      </c>
      <c r="B47" s="5" t="s">
        <v>87</v>
      </c>
      <c r="C47" s="6" t="s">
        <v>392</v>
      </c>
      <c r="D47" s="6" t="s">
        <v>393</v>
      </c>
      <c r="E47" s="6" t="s">
        <v>382</v>
      </c>
      <c r="F47" s="7">
        <v>1</v>
      </c>
      <c r="G47" s="5" t="s">
        <v>394</v>
      </c>
      <c r="H47" s="5" t="s">
        <v>120</v>
      </c>
      <c r="I47" s="5" t="s">
        <v>204</v>
      </c>
      <c r="J47" s="5" t="s">
        <v>95</v>
      </c>
      <c r="K47" s="8">
        <v>5</v>
      </c>
      <c r="L47" s="8">
        <v>5</v>
      </c>
      <c r="M47" s="8">
        <v>4</v>
      </c>
      <c r="N47" s="8">
        <v>7</v>
      </c>
      <c r="O47" s="8">
        <v>3</v>
      </c>
      <c r="P47" s="5" t="s">
        <v>95</v>
      </c>
      <c r="Q47" s="5" t="s">
        <v>94</v>
      </c>
      <c r="R47" s="5" t="s">
        <v>95</v>
      </c>
      <c r="S47" s="5" t="s">
        <v>122</v>
      </c>
      <c r="T47" s="8">
        <v>1</v>
      </c>
      <c r="U47" s="5" t="s">
        <v>395</v>
      </c>
      <c r="V47" s="5" t="s">
        <v>137</v>
      </c>
      <c r="W47" s="5" t="s">
        <v>124</v>
      </c>
      <c r="X47" s="5" t="s">
        <v>100</v>
      </c>
      <c r="Y47" s="5" t="s">
        <v>396</v>
      </c>
      <c r="Z47" s="5" t="s">
        <v>397</v>
      </c>
      <c r="AA47" s="6" t="s">
        <v>398</v>
      </c>
    </row>
    <row r="48" spans="1:27" ht="20" customHeight="1" x14ac:dyDescent="0.2">
      <c r="A48" s="4" t="s">
        <v>86</v>
      </c>
      <c r="B48" s="5" t="s">
        <v>87</v>
      </c>
      <c r="C48" s="6" t="s">
        <v>399</v>
      </c>
      <c r="D48" s="6" t="s">
        <v>400</v>
      </c>
      <c r="E48" s="6" t="s">
        <v>382</v>
      </c>
      <c r="F48" s="7">
        <v>1</v>
      </c>
      <c r="G48" s="5" t="s">
        <v>401</v>
      </c>
      <c r="H48" s="5" t="s">
        <v>92</v>
      </c>
      <c r="I48" s="5" t="s">
        <v>215</v>
      </c>
      <c r="J48" s="5" t="s">
        <v>95</v>
      </c>
      <c r="K48" s="8">
        <v>5</v>
      </c>
      <c r="L48" s="8">
        <v>5</v>
      </c>
      <c r="M48" s="8">
        <v>4</v>
      </c>
      <c r="N48" s="8">
        <v>7</v>
      </c>
      <c r="O48" s="8">
        <v>3</v>
      </c>
      <c r="P48" s="5" t="s">
        <v>94</v>
      </c>
      <c r="Q48" s="5" t="s">
        <v>94</v>
      </c>
      <c r="R48" s="5" t="s">
        <v>95</v>
      </c>
      <c r="S48" s="5" t="s">
        <v>385</v>
      </c>
      <c r="T48" s="8">
        <v>1</v>
      </c>
      <c r="U48" s="5" t="s">
        <v>402</v>
      </c>
      <c r="V48" s="5" t="s">
        <v>403</v>
      </c>
      <c r="W48" s="5" t="s">
        <v>404</v>
      </c>
      <c r="X48" s="5" t="s">
        <v>100</v>
      </c>
      <c r="Y48" s="5" t="s">
        <v>405</v>
      </c>
      <c r="Z48" s="5" t="s">
        <v>406</v>
      </c>
      <c r="AA48" s="6" t="s">
        <v>407</v>
      </c>
    </row>
    <row r="49" spans="1:27" ht="20" customHeight="1" x14ac:dyDescent="0.2">
      <c r="A49" s="4" t="s">
        <v>86</v>
      </c>
      <c r="B49" s="5" t="s">
        <v>87</v>
      </c>
      <c r="C49" s="6" t="s">
        <v>408</v>
      </c>
      <c r="D49" s="6" t="s">
        <v>409</v>
      </c>
      <c r="E49" s="6" t="s">
        <v>382</v>
      </c>
      <c r="F49" s="9">
        <v>2</v>
      </c>
      <c r="G49" s="5" t="s">
        <v>410</v>
      </c>
      <c r="H49" s="5" t="s">
        <v>120</v>
      </c>
      <c r="I49" s="5" t="s">
        <v>121</v>
      </c>
      <c r="J49" s="5" t="s">
        <v>95</v>
      </c>
      <c r="K49" s="8">
        <v>3</v>
      </c>
      <c r="L49" s="8">
        <v>3</v>
      </c>
      <c r="M49" s="8">
        <v>2</v>
      </c>
      <c r="N49" s="8">
        <v>5</v>
      </c>
      <c r="O49" s="8">
        <v>2</v>
      </c>
      <c r="P49" s="5" t="s">
        <v>95</v>
      </c>
      <c r="Q49" s="5" t="s">
        <v>95</v>
      </c>
      <c r="R49" s="5" t="s">
        <v>95</v>
      </c>
      <c r="S49" s="5" t="s">
        <v>122</v>
      </c>
      <c r="T49" s="8">
        <v>1</v>
      </c>
      <c r="U49" s="5"/>
      <c r="V49" s="5" t="s">
        <v>411</v>
      </c>
      <c r="W49" s="5" t="s">
        <v>124</v>
      </c>
      <c r="X49" s="5" t="s">
        <v>100</v>
      </c>
      <c r="Y49" s="5" t="s">
        <v>412</v>
      </c>
      <c r="Z49" s="5" t="s">
        <v>413</v>
      </c>
      <c r="AA49" s="6" t="s">
        <v>414</v>
      </c>
    </row>
    <row r="50" spans="1:27" ht="20" customHeight="1" x14ac:dyDescent="0.2">
      <c r="A50" s="4" t="s">
        <v>86</v>
      </c>
      <c r="B50" s="5" t="s">
        <v>87</v>
      </c>
      <c r="C50" s="6" t="s">
        <v>415</v>
      </c>
      <c r="D50" s="6" t="s">
        <v>416</v>
      </c>
      <c r="E50" s="6" t="s">
        <v>382</v>
      </c>
      <c r="F50" s="9">
        <v>2</v>
      </c>
      <c r="G50" s="5" t="s">
        <v>417</v>
      </c>
      <c r="H50" s="5" t="s">
        <v>120</v>
      </c>
      <c r="I50" s="5" t="s">
        <v>121</v>
      </c>
      <c r="J50" s="5" t="s">
        <v>95</v>
      </c>
      <c r="K50" s="8">
        <v>3</v>
      </c>
      <c r="L50" s="8">
        <v>3</v>
      </c>
      <c r="M50" s="8">
        <v>2</v>
      </c>
      <c r="N50" s="8">
        <v>5</v>
      </c>
      <c r="O50" s="8">
        <v>2</v>
      </c>
      <c r="P50" s="5" t="s">
        <v>95</v>
      </c>
      <c r="Q50" s="5" t="s">
        <v>95</v>
      </c>
      <c r="R50" s="5" t="s">
        <v>95</v>
      </c>
      <c r="S50" s="5" t="s">
        <v>172</v>
      </c>
      <c r="T50" s="8">
        <v>1</v>
      </c>
      <c r="U50" s="5"/>
      <c r="V50" s="5" t="s">
        <v>418</v>
      </c>
      <c r="W50" s="5" t="s">
        <v>419</v>
      </c>
      <c r="X50" s="5" t="s">
        <v>208</v>
      </c>
      <c r="Y50" s="5" t="s">
        <v>420</v>
      </c>
      <c r="Z50" s="5" t="s">
        <v>421</v>
      </c>
      <c r="AA50" s="6" t="s">
        <v>422</v>
      </c>
    </row>
    <row r="51" spans="1:27" ht="20" customHeight="1" x14ac:dyDescent="0.2">
      <c r="A51" s="4" t="s">
        <v>86</v>
      </c>
      <c r="B51" s="5" t="s">
        <v>87</v>
      </c>
      <c r="C51" s="6" t="s">
        <v>423</v>
      </c>
      <c r="D51" s="6" t="s">
        <v>424</v>
      </c>
      <c r="E51" s="6" t="s">
        <v>382</v>
      </c>
      <c r="F51" s="9">
        <v>2</v>
      </c>
      <c r="G51" s="5" t="s">
        <v>425</v>
      </c>
      <c r="H51" s="5" t="s">
        <v>120</v>
      </c>
      <c r="I51" s="5" t="s">
        <v>121</v>
      </c>
      <c r="J51" s="5" t="s">
        <v>95</v>
      </c>
      <c r="K51" s="8">
        <v>3</v>
      </c>
      <c r="L51" s="8">
        <v>3</v>
      </c>
      <c r="M51" s="8">
        <v>2</v>
      </c>
      <c r="N51" s="8">
        <v>5</v>
      </c>
      <c r="O51" s="8">
        <v>2</v>
      </c>
      <c r="P51" s="5" t="s">
        <v>95</v>
      </c>
      <c r="Q51" s="5" t="s">
        <v>95</v>
      </c>
      <c r="R51" s="5" t="s">
        <v>95</v>
      </c>
      <c r="S51" s="5" t="s">
        <v>172</v>
      </c>
      <c r="T51" s="8">
        <v>1</v>
      </c>
      <c r="U51" s="5"/>
      <c r="V51" s="5" t="s">
        <v>426</v>
      </c>
      <c r="W51" s="5" t="s">
        <v>427</v>
      </c>
      <c r="X51" s="5" t="s">
        <v>100</v>
      </c>
      <c r="Y51" s="5" t="s">
        <v>412</v>
      </c>
      <c r="Z51" s="5" t="s">
        <v>428</v>
      </c>
      <c r="AA51" s="6" t="s">
        <v>429</v>
      </c>
    </row>
    <row r="52" spans="1:27" ht="20" customHeight="1" x14ac:dyDescent="0.2">
      <c r="A52" s="4" t="s">
        <v>86</v>
      </c>
      <c r="B52" s="5" t="s">
        <v>87</v>
      </c>
      <c r="C52" s="6" t="s">
        <v>430</v>
      </c>
      <c r="D52" s="6" t="s">
        <v>431</v>
      </c>
      <c r="E52" s="6" t="s">
        <v>382</v>
      </c>
      <c r="F52" s="9">
        <v>2</v>
      </c>
      <c r="G52" s="5" t="s">
        <v>432</v>
      </c>
      <c r="H52" s="5" t="s">
        <v>92</v>
      </c>
      <c r="I52" s="5" t="s">
        <v>121</v>
      </c>
      <c r="J52" s="5" t="s">
        <v>95</v>
      </c>
      <c r="K52" s="8">
        <v>3</v>
      </c>
      <c r="L52" s="8">
        <v>3</v>
      </c>
      <c r="M52" s="8">
        <v>2</v>
      </c>
      <c r="N52" s="8">
        <v>5</v>
      </c>
      <c r="O52" s="8">
        <v>2</v>
      </c>
      <c r="P52" s="5" t="s">
        <v>94</v>
      </c>
      <c r="Q52" s="5" t="s">
        <v>95</v>
      </c>
      <c r="R52" s="5" t="s">
        <v>95</v>
      </c>
      <c r="S52" s="5" t="s">
        <v>96</v>
      </c>
      <c r="T52" s="8">
        <v>1</v>
      </c>
      <c r="U52" s="5"/>
      <c r="V52" s="5" t="s">
        <v>433</v>
      </c>
      <c r="W52" s="5" t="s">
        <v>434</v>
      </c>
      <c r="X52" s="5" t="s">
        <v>100</v>
      </c>
      <c r="Y52" s="5" t="s">
        <v>435</v>
      </c>
      <c r="Z52" s="5" t="s">
        <v>436</v>
      </c>
      <c r="AA52" s="6" t="s">
        <v>437</v>
      </c>
    </row>
    <row r="53" spans="1:27" ht="20" customHeight="1" x14ac:dyDescent="0.2">
      <c r="A53" s="4" t="s">
        <v>86</v>
      </c>
      <c r="B53" s="5" t="s">
        <v>87</v>
      </c>
      <c r="C53" s="6" t="s">
        <v>438</v>
      </c>
      <c r="D53" s="6" t="s">
        <v>439</v>
      </c>
      <c r="E53" s="6" t="s">
        <v>382</v>
      </c>
      <c r="F53" s="9">
        <v>2</v>
      </c>
      <c r="G53" s="5" t="s">
        <v>440</v>
      </c>
      <c r="H53" s="5" t="s">
        <v>120</v>
      </c>
      <c r="I53" s="5" t="s">
        <v>121</v>
      </c>
      <c r="J53" s="5" t="s">
        <v>95</v>
      </c>
      <c r="K53" s="8">
        <v>3</v>
      </c>
      <c r="L53" s="8">
        <v>3</v>
      </c>
      <c r="M53" s="8">
        <v>2</v>
      </c>
      <c r="N53" s="8">
        <v>5</v>
      </c>
      <c r="O53" s="8">
        <v>2</v>
      </c>
      <c r="P53" s="5" t="s">
        <v>95</v>
      </c>
      <c r="Q53" s="5" t="s">
        <v>95</v>
      </c>
      <c r="R53" s="5" t="s">
        <v>95</v>
      </c>
      <c r="S53" s="5" t="s">
        <v>385</v>
      </c>
      <c r="T53" s="8">
        <v>1</v>
      </c>
      <c r="U53" s="5"/>
      <c r="V53" s="5" t="s">
        <v>441</v>
      </c>
      <c r="W53" s="5" t="s">
        <v>442</v>
      </c>
      <c r="X53" s="5" t="s">
        <v>100</v>
      </c>
      <c r="Y53" s="5" t="s">
        <v>443</v>
      </c>
      <c r="Z53" s="5" t="s">
        <v>444</v>
      </c>
      <c r="AA53" s="6" t="s">
        <v>445</v>
      </c>
    </row>
    <row r="54" spans="1:27" ht="20" customHeight="1" x14ac:dyDescent="0.2">
      <c r="A54" s="4" t="s">
        <v>86</v>
      </c>
      <c r="B54" s="5" t="s">
        <v>87</v>
      </c>
      <c r="C54" s="6" t="s">
        <v>446</v>
      </c>
      <c r="D54" s="6" t="s">
        <v>447</v>
      </c>
      <c r="E54" s="6" t="s">
        <v>382</v>
      </c>
      <c r="F54" s="9">
        <v>2</v>
      </c>
      <c r="G54" s="5" t="s">
        <v>448</v>
      </c>
      <c r="H54" s="5" t="s">
        <v>120</v>
      </c>
      <c r="I54" s="5" t="s">
        <v>121</v>
      </c>
      <c r="J54" s="5" t="s">
        <v>95</v>
      </c>
      <c r="K54" s="8">
        <v>3</v>
      </c>
      <c r="L54" s="8">
        <v>3</v>
      </c>
      <c r="M54" s="8">
        <v>2</v>
      </c>
      <c r="N54" s="8">
        <v>5</v>
      </c>
      <c r="O54" s="8">
        <v>2</v>
      </c>
      <c r="P54" s="5" t="s">
        <v>95</v>
      </c>
      <c r="Q54" s="5" t="s">
        <v>95</v>
      </c>
      <c r="R54" s="5" t="s">
        <v>95</v>
      </c>
      <c r="S54" s="5" t="s">
        <v>172</v>
      </c>
      <c r="T54" s="8">
        <v>1</v>
      </c>
      <c r="U54" s="5"/>
      <c r="V54" s="5" t="s">
        <v>449</v>
      </c>
      <c r="W54" s="5" t="s">
        <v>124</v>
      </c>
      <c r="X54" s="5" t="s">
        <v>100</v>
      </c>
      <c r="Y54" s="5" t="s">
        <v>450</v>
      </c>
      <c r="Z54" s="5" t="s">
        <v>451</v>
      </c>
      <c r="AA54" s="6" t="s">
        <v>452</v>
      </c>
    </row>
    <row r="55" spans="1:27" ht="20" customHeight="1" x14ac:dyDescent="0.2">
      <c r="A55" s="4" t="s">
        <v>86</v>
      </c>
      <c r="B55" s="5" t="s">
        <v>87</v>
      </c>
      <c r="C55" s="6" t="s">
        <v>453</v>
      </c>
      <c r="D55" s="6" t="s">
        <v>454</v>
      </c>
      <c r="E55" s="6" t="s">
        <v>382</v>
      </c>
      <c r="F55" s="9">
        <v>2</v>
      </c>
      <c r="G55" s="5" t="s">
        <v>455</v>
      </c>
      <c r="H55" s="5" t="s">
        <v>92</v>
      </c>
      <c r="I55" s="5" t="s">
        <v>121</v>
      </c>
      <c r="J55" s="5" t="s">
        <v>95</v>
      </c>
      <c r="K55" s="8">
        <v>3</v>
      </c>
      <c r="L55" s="8">
        <v>3</v>
      </c>
      <c r="M55" s="8">
        <v>2</v>
      </c>
      <c r="N55" s="8">
        <v>5</v>
      </c>
      <c r="O55" s="8">
        <v>2</v>
      </c>
      <c r="P55" s="5" t="s">
        <v>94</v>
      </c>
      <c r="Q55" s="5" t="s">
        <v>95</v>
      </c>
      <c r="R55" s="5" t="s">
        <v>95</v>
      </c>
      <c r="S55" s="5" t="s">
        <v>96</v>
      </c>
      <c r="T55" s="8">
        <v>1</v>
      </c>
      <c r="U55" s="5"/>
      <c r="V55" s="5" t="s">
        <v>456</v>
      </c>
      <c r="W55" s="5" t="s">
        <v>457</v>
      </c>
      <c r="X55" s="5" t="s">
        <v>100</v>
      </c>
      <c r="Y55" s="5" t="s">
        <v>435</v>
      </c>
      <c r="Z55" s="5" t="s">
        <v>458</v>
      </c>
      <c r="AA55" s="6" t="s">
        <v>459</v>
      </c>
    </row>
    <row r="56" spans="1:27" ht="20" customHeight="1" x14ac:dyDescent="0.2">
      <c r="A56" s="4" t="s">
        <v>86</v>
      </c>
      <c r="B56" s="5" t="s">
        <v>87</v>
      </c>
      <c r="C56" s="6" t="s">
        <v>460</v>
      </c>
      <c r="D56" s="6" t="s">
        <v>461</v>
      </c>
      <c r="E56" s="6" t="s">
        <v>382</v>
      </c>
      <c r="F56" s="10">
        <v>3</v>
      </c>
      <c r="G56" s="5" t="s">
        <v>462</v>
      </c>
      <c r="H56" s="5" t="s">
        <v>120</v>
      </c>
      <c r="I56" s="5" t="s">
        <v>121</v>
      </c>
      <c r="J56" s="5" t="s">
        <v>95</v>
      </c>
      <c r="K56" s="8">
        <v>1</v>
      </c>
      <c r="L56" s="8">
        <v>1</v>
      </c>
      <c r="M56" s="8">
        <v>0</v>
      </c>
      <c r="N56" s="8">
        <v>3</v>
      </c>
      <c r="O56" s="8">
        <v>1</v>
      </c>
      <c r="P56" s="5" t="s">
        <v>95</v>
      </c>
      <c r="Q56" s="5" t="s">
        <v>95</v>
      </c>
      <c r="R56" s="5" t="s">
        <v>95</v>
      </c>
      <c r="S56" s="5" t="s">
        <v>122</v>
      </c>
      <c r="T56" s="8">
        <v>1</v>
      </c>
      <c r="U56" s="5"/>
      <c r="V56" s="5" t="s">
        <v>463</v>
      </c>
      <c r="W56" s="5" t="s">
        <v>124</v>
      </c>
      <c r="X56" s="5" t="s">
        <v>100</v>
      </c>
      <c r="Y56" s="5" t="s">
        <v>412</v>
      </c>
      <c r="Z56" s="5" t="s">
        <v>126</v>
      </c>
      <c r="AA56" s="6" t="s">
        <v>464</v>
      </c>
    </row>
    <row r="57" spans="1:27" ht="20" customHeight="1" x14ac:dyDescent="0.2">
      <c r="A57" s="4" t="s">
        <v>86</v>
      </c>
      <c r="B57" s="5" t="s">
        <v>87</v>
      </c>
      <c r="C57" s="6" t="s">
        <v>465</v>
      </c>
      <c r="D57" s="6" t="s">
        <v>466</v>
      </c>
      <c r="E57" s="6" t="s">
        <v>382</v>
      </c>
      <c r="F57" s="10">
        <v>3</v>
      </c>
      <c r="G57" s="5" t="s">
        <v>467</v>
      </c>
      <c r="H57" s="5" t="s">
        <v>120</v>
      </c>
      <c r="I57" s="5" t="s">
        <v>121</v>
      </c>
      <c r="J57" s="5" t="s">
        <v>95</v>
      </c>
      <c r="K57" s="8">
        <v>1</v>
      </c>
      <c r="L57" s="8">
        <v>1</v>
      </c>
      <c r="M57" s="8">
        <v>0</v>
      </c>
      <c r="N57" s="8">
        <v>3</v>
      </c>
      <c r="O57" s="8">
        <v>1</v>
      </c>
      <c r="P57" s="5" t="s">
        <v>95</v>
      </c>
      <c r="Q57" s="5" t="s">
        <v>95</v>
      </c>
      <c r="R57" s="5" t="s">
        <v>95</v>
      </c>
      <c r="S57" s="5" t="s">
        <v>172</v>
      </c>
      <c r="T57" s="8">
        <v>1</v>
      </c>
      <c r="U57" s="5"/>
      <c r="V57" s="5" t="s">
        <v>137</v>
      </c>
      <c r="W57" s="5" t="s">
        <v>124</v>
      </c>
      <c r="X57" s="5" t="s">
        <v>100</v>
      </c>
      <c r="Y57" s="5" t="s">
        <v>450</v>
      </c>
      <c r="Z57" s="5" t="s">
        <v>126</v>
      </c>
      <c r="AA57" s="6" t="s">
        <v>468</v>
      </c>
    </row>
    <row r="58" spans="1:27" ht="20" customHeight="1" x14ac:dyDescent="0.2">
      <c r="A58" s="4" t="s">
        <v>86</v>
      </c>
      <c r="B58" s="5" t="s">
        <v>87</v>
      </c>
      <c r="C58" s="6" t="s">
        <v>469</v>
      </c>
      <c r="D58" s="6" t="s">
        <v>470</v>
      </c>
      <c r="E58" s="6" t="s">
        <v>382</v>
      </c>
      <c r="F58" s="10">
        <v>3</v>
      </c>
      <c r="G58" s="5" t="s">
        <v>471</v>
      </c>
      <c r="H58" s="5" t="s">
        <v>120</v>
      </c>
      <c r="I58" s="5" t="s">
        <v>121</v>
      </c>
      <c r="J58" s="5" t="s">
        <v>95</v>
      </c>
      <c r="K58" s="8">
        <v>1</v>
      </c>
      <c r="L58" s="8">
        <v>1</v>
      </c>
      <c r="M58" s="8">
        <v>0</v>
      </c>
      <c r="N58" s="8">
        <v>3</v>
      </c>
      <c r="O58" s="8">
        <v>1</v>
      </c>
      <c r="P58" s="5" t="s">
        <v>95</v>
      </c>
      <c r="Q58" s="5" t="s">
        <v>95</v>
      </c>
      <c r="R58" s="5" t="s">
        <v>95</v>
      </c>
      <c r="S58" s="5" t="s">
        <v>472</v>
      </c>
      <c r="T58" s="8">
        <v>1</v>
      </c>
      <c r="U58" s="5"/>
      <c r="V58" s="5" t="s">
        <v>137</v>
      </c>
      <c r="W58" s="5" t="s">
        <v>124</v>
      </c>
      <c r="X58" s="5" t="s">
        <v>100</v>
      </c>
      <c r="Y58" s="5" t="s">
        <v>473</v>
      </c>
      <c r="Z58" s="5" t="s">
        <v>474</v>
      </c>
      <c r="AA58" s="6" t="s">
        <v>475</v>
      </c>
    </row>
    <row r="59" spans="1:27" ht="20" customHeight="1" x14ac:dyDescent="0.2">
      <c r="A59" s="4" t="s">
        <v>86</v>
      </c>
      <c r="B59" s="5" t="s">
        <v>87</v>
      </c>
      <c r="C59" s="6" t="s">
        <v>476</v>
      </c>
      <c r="D59" s="6" t="s">
        <v>477</v>
      </c>
      <c r="E59" s="6" t="s">
        <v>382</v>
      </c>
      <c r="F59" s="10">
        <v>3</v>
      </c>
      <c r="G59" s="5" t="s">
        <v>478</v>
      </c>
      <c r="H59" s="5" t="s">
        <v>120</v>
      </c>
      <c r="I59" s="5" t="s">
        <v>121</v>
      </c>
      <c r="J59" s="5" t="s">
        <v>95</v>
      </c>
      <c r="K59" s="8">
        <v>1</v>
      </c>
      <c r="L59" s="8">
        <v>1</v>
      </c>
      <c r="M59" s="8">
        <v>0</v>
      </c>
      <c r="N59" s="8">
        <v>3</v>
      </c>
      <c r="O59" s="8">
        <v>1</v>
      </c>
      <c r="P59" s="5" t="s">
        <v>95</v>
      </c>
      <c r="Q59" s="5" t="s">
        <v>95</v>
      </c>
      <c r="R59" s="5" t="s">
        <v>95</v>
      </c>
      <c r="S59" s="5" t="s">
        <v>172</v>
      </c>
      <c r="T59" s="8">
        <v>1</v>
      </c>
      <c r="U59" s="5"/>
      <c r="V59" s="5" t="s">
        <v>137</v>
      </c>
      <c r="W59" s="5" t="s">
        <v>124</v>
      </c>
      <c r="X59" s="5" t="s">
        <v>100</v>
      </c>
      <c r="Y59" s="5" t="s">
        <v>450</v>
      </c>
      <c r="Z59" s="5" t="s">
        <v>479</v>
      </c>
      <c r="AA59" s="6" t="s">
        <v>480</v>
      </c>
    </row>
    <row r="60" spans="1:27" ht="20" customHeight="1" x14ac:dyDescent="0.2">
      <c r="A60" s="4" t="s">
        <v>86</v>
      </c>
      <c r="B60" s="5" t="s">
        <v>87</v>
      </c>
      <c r="C60" s="6" t="s">
        <v>481</v>
      </c>
      <c r="D60" s="6" t="s">
        <v>482</v>
      </c>
      <c r="E60" s="6" t="s">
        <v>382</v>
      </c>
      <c r="F60" s="10">
        <v>3</v>
      </c>
      <c r="G60" s="5" t="s">
        <v>483</v>
      </c>
      <c r="H60" s="5" t="s">
        <v>120</v>
      </c>
      <c r="I60" s="5" t="s">
        <v>121</v>
      </c>
      <c r="J60" s="5" t="s">
        <v>95</v>
      </c>
      <c r="K60" s="8">
        <v>1</v>
      </c>
      <c r="L60" s="8">
        <v>1</v>
      </c>
      <c r="M60" s="8">
        <v>0</v>
      </c>
      <c r="N60" s="8">
        <v>3</v>
      </c>
      <c r="O60" s="8">
        <v>1</v>
      </c>
      <c r="P60" s="5" t="s">
        <v>95</v>
      </c>
      <c r="Q60" s="5" t="s">
        <v>95</v>
      </c>
      <c r="R60" s="5" t="s">
        <v>95</v>
      </c>
      <c r="S60" s="5" t="s">
        <v>172</v>
      </c>
      <c r="T60" s="8">
        <v>1</v>
      </c>
      <c r="U60" s="5"/>
      <c r="V60" s="5" t="s">
        <v>137</v>
      </c>
      <c r="W60" s="5" t="s">
        <v>124</v>
      </c>
      <c r="X60" s="5" t="s">
        <v>100</v>
      </c>
      <c r="Y60" s="5" t="s">
        <v>450</v>
      </c>
      <c r="Z60" s="5" t="s">
        <v>484</v>
      </c>
      <c r="AA60" s="6" t="s">
        <v>485</v>
      </c>
    </row>
    <row r="61" spans="1:27" ht="20" customHeight="1" x14ac:dyDescent="0.2">
      <c r="A61" s="4" t="s">
        <v>86</v>
      </c>
      <c r="B61" s="5" t="s">
        <v>87</v>
      </c>
      <c r="C61" s="6" t="s">
        <v>486</v>
      </c>
      <c r="D61" s="6" t="s">
        <v>487</v>
      </c>
      <c r="E61" s="6" t="s">
        <v>382</v>
      </c>
      <c r="F61" s="10">
        <v>3</v>
      </c>
      <c r="G61" s="5" t="s">
        <v>488</v>
      </c>
      <c r="H61" s="5" t="s">
        <v>120</v>
      </c>
      <c r="I61" s="5" t="s">
        <v>121</v>
      </c>
      <c r="J61" s="5" t="s">
        <v>95</v>
      </c>
      <c r="K61" s="8">
        <v>1</v>
      </c>
      <c r="L61" s="8">
        <v>1</v>
      </c>
      <c r="M61" s="8">
        <v>0</v>
      </c>
      <c r="N61" s="8">
        <v>3</v>
      </c>
      <c r="O61" s="8">
        <v>1</v>
      </c>
      <c r="P61" s="5" t="s">
        <v>95</v>
      </c>
      <c r="Q61" s="5" t="s">
        <v>95</v>
      </c>
      <c r="R61" s="5" t="s">
        <v>95</v>
      </c>
      <c r="S61" s="5" t="s">
        <v>96</v>
      </c>
      <c r="T61" s="8">
        <v>1</v>
      </c>
      <c r="U61" s="5"/>
      <c r="V61" s="5" t="s">
        <v>137</v>
      </c>
      <c r="W61" s="5" t="s">
        <v>124</v>
      </c>
      <c r="X61" s="5" t="s">
        <v>100</v>
      </c>
      <c r="Y61" s="5" t="s">
        <v>489</v>
      </c>
      <c r="Z61" s="5" t="s">
        <v>490</v>
      </c>
      <c r="AA61" s="6" t="s">
        <v>491</v>
      </c>
    </row>
    <row r="62" spans="1:27" ht="20" customHeight="1" x14ac:dyDescent="0.2">
      <c r="A62" s="4" t="s">
        <v>86</v>
      </c>
      <c r="B62" s="5" t="s">
        <v>87</v>
      </c>
      <c r="C62" s="6" t="s">
        <v>492</v>
      </c>
      <c r="D62" s="6" t="s">
        <v>493</v>
      </c>
      <c r="E62" s="6" t="s">
        <v>382</v>
      </c>
      <c r="F62" s="10">
        <v>3</v>
      </c>
      <c r="G62" s="5" t="s">
        <v>494</v>
      </c>
      <c r="H62" s="5" t="s">
        <v>120</v>
      </c>
      <c r="I62" s="5" t="s">
        <v>121</v>
      </c>
      <c r="J62" s="5" t="s">
        <v>95</v>
      </c>
      <c r="K62" s="8">
        <v>1</v>
      </c>
      <c r="L62" s="8">
        <v>1</v>
      </c>
      <c r="M62" s="8">
        <v>0</v>
      </c>
      <c r="N62" s="8">
        <v>3</v>
      </c>
      <c r="O62" s="8">
        <v>1</v>
      </c>
      <c r="P62" s="5" t="s">
        <v>95</v>
      </c>
      <c r="Q62" s="5" t="s">
        <v>95</v>
      </c>
      <c r="R62" s="5" t="s">
        <v>95</v>
      </c>
      <c r="S62" s="5" t="s">
        <v>172</v>
      </c>
      <c r="T62" s="8">
        <v>1</v>
      </c>
      <c r="U62" s="5"/>
      <c r="V62" s="5" t="s">
        <v>137</v>
      </c>
      <c r="W62" s="5" t="s">
        <v>124</v>
      </c>
      <c r="X62" s="5" t="s">
        <v>100</v>
      </c>
      <c r="Y62" s="5" t="s">
        <v>450</v>
      </c>
      <c r="Z62" s="5" t="s">
        <v>126</v>
      </c>
      <c r="AA62" s="6" t="s">
        <v>495</v>
      </c>
    </row>
    <row r="63" spans="1:27" ht="20" customHeight="1" x14ac:dyDescent="0.2">
      <c r="A63" s="4" t="s">
        <v>86</v>
      </c>
      <c r="B63" s="5" t="s">
        <v>87</v>
      </c>
      <c r="C63" s="6" t="s">
        <v>496</v>
      </c>
      <c r="D63" s="6" t="s">
        <v>497</v>
      </c>
      <c r="E63" s="6" t="s">
        <v>382</v>
      </c>
      <c r="F63" s="10">
        <v>3</v>
      </c>
      <c r="G63" s="5" t="s">
        <v>498</v>
      </c>
      <c r="H63" s="5" t="s">
        <v>120</v>
      </c>
      <c r="I63" s="5" t="s">
        <v>121</v>
      </c>
      <c r="J63" s="5" t="s">
        <v>95</v>
      </c>
      <c r="K63" s="8">
        <v>1</v>
      </c>
      <c r="L63" s="8">
        <v>1</v>
      </c>
      <c r="M63" s="8">
        <v>0</v>
      </c>
      <c r="N63" s="8">
        <v>3</v>
      </c>
      <c r="O63" s="8">
        <v>1</v>
      </c>
      <c r="P63" s="5" t="s">
        <v>95</v>
      </c>
      <c r="Q63" s="5" t="s">
        <v>95</v>
      </c>
      <c r="R63" s="5" t="s">
        <v>95</v>
      </c>
      <c r="S63" s="5" t="s">
        <v>385</v>
      </c>
      <c r="T63" s="8">
        <v>1</v>
      </c>
      <c r="U63" s="5"/>
      <c r="V63" s="5" t="s">
        <v>137</v>
      </c>
      <c r="W63" s="5" t="s">
        <v>124</v>
      </c>
      <c r="X63" s="5" t="s">
        <v>100</v>
      </c>
      <c r="Y63" s="5" t="s">
        <v>443</v>
      </c>
      <c r="Z63" s="5" t="s">
        <v>499</v>
      </c>
      <c r="AA63" s="6" t="s">
        <v>500</v>
      </c>
    </row>
    <row r="64" spans="1:27" ht="20" customHeight="1" x14ac:dyDescent="0.2">
      <c r="A64" s="4" t="s">
        <v>86</v>
      </c>
      <c r="B64" s="5" t="s">
        <v>87</v>
      </c>
      <c r="C64" s="6" t="s">
        <v>501</v>
      </c>
      <c r="D64" s="6" t="s">
        <v>502</v>
      </c>
      <c r="E64" s="6" t="s">
        <v>382</v>
      </c>
      <c r="F64" s="10">
        <v>3</v>
      </c>
      <c r="G64" s="5" t="s">
        <v>503</v>
      </c>
      <c r="H64" s="5" t="s">
        <v>92</v>
      </c>
      <c r="I64" s="5" t="s">
        <v>121</v>
      </c>
      <c r="J64" s="5" t="s">
        <v>95</v>
      </c>
      <c r="K64" s="8">
        <v>1</v>
      </c>
      <c r="L64" s="8">
        <v>1</v>
      </c>
      <c r="M64" s="8">
        <v>0</v>
      </c>
      <c r="N64" s="8">
        <v>3</v>
      </c>
      <c r="O64" s="8">
        <v>1</v>
      </c>
      <c r="P64" s="5" t="s">
        <v>94</v>
      </c>
      <c r="Q64" s="5" t="s">
        <v>95</v>
      </c>
      <c r="R64" s="5" t="s">
        <v>95</v>
      </c>
      <c r="S64" s="5" t="s">
        <v>96</v>
      </c>
      <c r="T64" s="8">
        <v>1</v>
      </c>
      <c r="U64" s="5"/>
      <c r="V64" s="5" t="s">
        <v>504</v>
      </c>
      <c r="W64" s="5" t="s">
        <v>124</v>
      </c>
      <c r="X64" s="5" t="s">
        <v>100</v>
      </c>
      <c r="Y64" s="5" t="s">
        <v>489</v>
      </c>
      <c r="Z64" s="5" t="s">
        <v>505</v>
      </c>
      <c r="AA64" s="6" t="s">
        <v>506</v>
      </c>
    </row>
    <row r="65" spans="1:27" ht="20" customHeight="1" x14ac:dyDescent="0.2">
      <c r="A65" s="4" t="s">
        <v>86</v>
      </c>
      <c r="B65" s="5" t="s">
        <v>87</v>
      </c>
      <c r="C65" s="6" t="s">
        <v>507</v>
      </c>
      <c r="D65" s="6" t="s">
        <v>508</v>
      </c>
      <c r="E65" s="6" t="s">
        <v>382</v>
      </c>
      <c r="F65" s="10">
        <v>3</v>
      </c>
      <c r="G65" s="5" t="s">
        <v>509</v>
      </c>
      <c r="H65" s="5" t="s">
        <v>120</v>
      </c>
      <c r="I65" s="5" t="s">
        <v>121</v>
      </c>
      <c r="J65" s="5" t="s">
        <v>95</v>
      </c>
      <c r="K65" s="8">
        <v>1</v>
      </c>
      <c r="L65" s="8">
        <v>1</v>
      </c>
      <c r="M65" s="8">
        <v>0</v>
      </c>
      <c r="N65" s="8">
        <v>3</v>
      </c>
      <c r="O65" s="8">
        <v>1</v>
      </c>
      <c r="P65" s="5" t="s">
        <v>95</v>
      </c>
      <c r="Q65" s="5" t="s">
        <v>95</v>
      </c>
      <c r="R65" s="5" t="s">
        <v>95</v>
      </c>
      <c r="S65" s="5" t="s">
        <v>385</v>
      </c>
      <c r="T65" s="8">
        <v>1</v>
      </c>
      <c r="U65" s="5"/>
      <c r="V65" s="5" t="s">
        <v>137</v>
      </c>
      <c r="W65" s="5" t="s">
        <v>124</v>
      </c>
      <c r="X65" s="5" t="s">
        <v>100</v>
      </c>
      <c r="Y65" s="5" t="s">
        <v>443</v>
      </c>
      <c r="Z65" s="5" t="s">
        <v>510</v>
      </c>
      <c r="AA65" s="6" t="s">
        <v>511</v>
      </c>
    </row>
    <row r="66" spans="1:27" ht="20" customHeight="1" x14ac:dyDescent="0.2">
      <c r="A66" s="4" t="s">
        <v>86</v>
      </c>
      <c r="B66" s="5" t="s">
        <v>87</v>
      </c>
      <c r="C66" s="6" t="s">
        <v>512</v>
      </c>
      <c r="D66" s="6" t="s">
        <v>513</v>
      </c>
      <c r="E66" s="6" t="s">
        <v>382</v>
      </c>
      <c r="F66" s="10">
        <v>3</v>
      </c>
      <c r="G66" s="5" t="s">
        <v>514</v>
      </c>
      <c r="H66" s="5" t="s">
        <v>120</v>
      </c>
      <c r="I66" s="5" t="s">
        <v>121</v>
      </c>
      <c r="J66" s="5" t="s">
        <v>95</v>
      </c>
      <c r="K66" s="8">
        <v>1</v>
      </c>
      <c r="L66" s="8">
        <v>1</v>
      </c>
      <c r="M66" s="8">
        <v>0</v>
      </c>
      <c r="N66" s="8">
        <v>3</v>
      </c>
      <c r="O66" s="8">
        <v>1</v>
      </c>
      <c r="P66" s="5" t="s">
        <v>95</v>
      </c>
      <c r="Q66" s="5" t="s">
        <v>95</v>
      </c>
      <c r="R66" s="5" t="s">
        <v>95</v>
      </c>
      <c r="S66" s="5" t="s">
        <v>122</v>
      </c>
      <c r="T66" s="8">
        <v>1</v>
      </c>
      <c r="U66" s="5"/>
      <c r="V66" s="5" t="s">
        <v>515</v>
      </c>
      <c r="W66" s="5" t="s">
        <v>124</v>
      </c>
      <c r="X66" s="5" t="s">
        <v>100</v>
      </c>
      <c r="Y66" s="5" t="s">
        <v>412</v>
      </c>
      <c r="Z66" s="5" t="s">
        <v>516</v>
      </c>
      <c r="AA66" s="6" t="s">
        <v>517</v>
      </c>
    </row>
    <row r="67" spans="1:27" ht="20" customHeight="1" x14ac:dyDescent="0.2">
      <c r="A67" s="4" t="s">
        <v>86</v>
      </c>
      <c r="B67" s="5" t="s">
        <v>87</v>
      </c>
      <c r="C67" s="6" t="s">
        <v>518</v>
      </c>
      <c r="D67" s="6" t="s">
        <v>519</v>
      </c>
      <c r="E67" s="6" t="s">
        <v>382</v>
      </c>
      <c r="F67" s="10">
        <v>3</v>
      </c>
      <c r="G67" s="5" t="s">
        <v>503</v>
      </c>
      <c r="H67" s="5" t="s">
        <v>92</v>
      </c>
      <c r="I67" s="5" t="s">
        <v>121</v>
      </c>
      <c r="J67" s="5" t="s">
        <v>95</v>
      </c>
      <c r="K67" s="8">
        <v>1</v>
      </c>
      <c r="L67" s="8">
        <v>1</v>
      </c>
      <c r="M67" s="8">
        <v>0</v>
      </c>
      <c r="N67" s="8">
        <v>3</v>
      </c>
      <c r="O67" s="8">
        <v>1</v>
      </c>
      <c r="P67" s="5" t="s">
        <v>94</v>
      </c>
      <c r="Q67" s="5" t="s">
        <v>95</v>
      </c>
      <c r="R67" s="5" t="s">
        <v>95</v>
      </c>
      <c r="S67" s="5" t="s">
        <v>96</v>
      </c>
      <c r="T67" s="8">
        <v>1</v>
      </c>
      <c r="U67" s="5"/>
      <c r="V67" s="5" t="s">
        <v>520</v>
      </c>
      <c r="W67" s="5" t="s">
        <v>124</v>
      </c>
      <c r="X67" s="5" t="s">
        <v>100</v>
      </c>
      <c r="Y67" s="5" t="s">
        <v>489</v>
      </c>
      <c r="Z67" s="5" t="s">
        <v>154</v>
      </c>
      <c r="AA67" s="6" t="s">
        <v>521</v>
      </c>
    </row>
    <row r="68" spans="1:27" ht="20" customHeight="1" x14ac:dyDescent="0.2">
      <c r="A68" s="4" t="s">
        <v>86</v>
      </c>
      <c r="B68" s="5" t="s">
        <v>87</v>
      </c>
      <c r="C68" s="6" t="s">
        <v>522</v>
      </c>
      <c r="D68" s="6" t="s">
        <v>523</v>
      </c>
      <c r="E68" s="6" t="s">
        <v>382</v>
      </c>
      <c r="F68" s="10">
        <v>3</v>
      </c>
      <c r="G68" s="5" t="s">
        <v>524</v>
      </c>
      <c r="H68" s="5" t="s">
        <v>92</v>
      </c>
      <c r="I68" s="5" t="s">
        <v>121</v>
      </c>
      <c r="J68" s="5" t="s">
        <v>95</v>
      </c>
      <c r="K68" s="8">
        <v>1</v>
      </c>
      <c r="L68" s="8">
        <v>1</v>
      </c>
      <c r="M68" s="8">
        <v>0</v>
      </c>
      <c r="N68" s="8">
        <v>3</v>
      </c>
      <c r="O68" s="8">
        <v>1</v>
      </c>
      <c r="P68" s="5" t="s">
        <v>94</v>
      </c>
      <c r="Q68" s="5" t="s">
        <v>95</v>
      </c>
      <c r="R68" s="5" t="s">
        <v>95</v>
      </c>
      <c r="S68" s="5" t="s">
        <v>96</v>
      </c>
      <c r="T68" s="8">
        <v>1</v>
      </c>
      <c r="U68" s="5"/>
      <c r="V68" s="5" t="s">
        <v>137</v>
      </c>
      <c r="W68" s="5" t="s">
        <v>124</v>
      </c>
      <c r="X68" s="5" t="s">
        <v>100</v>
      </c>
      <c r="Y68" s="5" t="s">
        <v>489</v>
      </c>
      <c r="Z68" s="5" t="s">
        <v>490</v>
      </c>
      <c r="AA68" s="6" t="s">
        <v>525</v>
      </c>
    </row>
    <row r="69" spans="1:27" ht="20" customHeight="1" x14ac:dyDescent="0.2">
      <c r="A69" s="4" t="s">
        <v>86</v>
      </c>
      <c r="B69" s="5" t="s">
        <v>87</v>
      </c>
      <c r="C69" s="6" t="s">
        <v>526</v>
      </c>
      <c r="D69" s="6" t="s">
        <v>527</v>
      </c>
      <c r="E69" s="6" t="s">
        <v>382</v>
      </c>
      <c r="F69" s="10">
        <v>3</v>
      </c>
      <c r="G69" s="5" t="s">
        <v>528</v>
      </c>
      <c r="H69" s="5" t="s">
        <v>120</v>
      </c>
      <c r="I69" s="5" t="s">
        <v>121</v>
      </c>
      <c r="J69" s="5" t="s">
        <v>95</v>
      </c>
      <c r="K69" s="8">
        <v>1</v>
      </c>
      <c r="L69" s="8">
        <v>1</v>
      </c>
      <c r="M69" s="8">
        <v>0</v>
      </c>
      <c r="N69" s="8">
        <v>3</v>
      </c>
      <c r="O69" s="8">
        <v>1</v>
      </c>
      <c r="P69" s="5" t="s">
        <v>95</v>
      </c>
      <c r="Q69" s="5" t="s">
        <v>95</v>
      </c>
      <c r="R69" s="5" t="s">
        <v>95</v>
      </c>
      <c r="S69" s="5" t="s">
        <v>122</v>
      </c>
      <c r="T69" s="8">
        <v>1</v>
      </c>
      <c r="U69" s="5"/>
      <c r="V69" s="5" t="s">
        <v>137</v>
      </c>
      <c r="W69" s="5" t="s">
        <v>124</v>
      </c>
      <c r="X69" s="5" t="s">
        <v>100</v>
      </c>
      <c r="Y69" s="5" t="s">
        <v>412</v>
      </c>
      <c r="Z69" s="5" t="s">
        <v>529</v>
      </c>
      <c r="AA69" s="6" t="s">
        <v>530</v>
      </c>
    </row>
    <row r="70" spans="1:27" ht="20" customHeight="1" x14ac:dyDescent="0.2">
      <c r="A70" s="4" t="s">
        <v>86</v>
      </c>
      <c r="B70" s="5" t="s">
        <v>87</v>
      </c>
      <c r="C70" s="6" t="s">
        <v>531</v>
      </c>
      <c r="D70" s="6" t="s">
        <v>532</v>
      </c>
      <c r="E70" s="6" t="s">
        <v>533</v>
      </c>
      <c r="F70" s="7">
        <v>1</v>
      </c>
      <c r="G70" s="5" t="s">
        <v>534</v>
      </c>
      <c r="H70" s="5" t="s">
        <v>120</v>
      </c>
      <c r="I70" s="5" t="s">
        <v>535</v>
      </c>
      <c r="J70" s="5" t="s">
        <v>95</v>
      </c>
      <c r="K70" s="8">
        <v>5</v>
      </c>
      <c r="L70" s="8">
        <v>5</v>
      </c>
      <c r="M70" s="8">
        <v>4</v>
      </c>
      <c r="N70" s="8">
        <v>7</v>
      </c>
      <c r="O70" s="8">
        <v>3</v>
      </c>
      <c r="P70" s="5" t="s">
        <v>94</v>
      </c>
      <c r="Q70" s="5" t="s">
        <v>95</v>
      </c>
      <c r="R70" s="5" t="s">
        <v>94</v>
      </c>
      <c r="S70" s="5" t="s">
        <v>232</v>
      </c>
      <c r="T70" s="8">
        <v>1</v>
      </c>
      <c r="U70" s="5" t="s">
        <v>536</v>
      </c>
      <c r="V70" s="5" t="s">
        <v>537</v>
      </c>
      <c r="W70" s="5" t="s">
        <v>538</v>
      </c>
      <c r="X70" s="5" t="s">
        <v>100</v>
      </c>
      <c r="Y70" s="5" t="s">
        <v>539</v>
      </c>
      <c r="Z70" s="5" t="s">
        <v>540</v>
      </c>
      <c r="AA70" s="6" t="s">
        <v>541</v>
      </c>
    </row>
    <row r="71" spans="1:27" ht="20" customHeight="1" x14ac:dyDescent="0.2">
      <c r="A71" s="4" t="s">
        <v>86</v>
      </c>
      <c r="B71" s="5" t="s">
        <v>87</v>
      </c>
      <c r="C71" s="6" t="s">
        <v>542</v>
      </c>
      <c r="D71" s="6" t="s">
        <v>543</v>
      </c>
      <c r="E71" s="6" t="s">
        <v>533</v>
      </c>
      <c r="F71" s="9">
        <v>2</v>
      </c>
      <c r="G71" s="5" t="s">
        <v>544</v>
      </c>
      <c r="H71" s="5" t="s">
        <v>120</v>
      </c>
      <c r="I71" s="5" t="s">
        <v>121</v>
      </c>
      <c r="J71" s="5" t="s">
        <v>95</v>
      </c>
      <c r="K71" s="8">
        <v>3</v>
      </c>
      <c r="L71" s="8">
        <v>3</v>
      </c>
      <c r="M71" s="8">
        <v>2</v>
      </c>
      <c r="N71" s="8">
        <v>5</v>
      </c>
      <c r="O71" s="8">
        <v>2</v>
      </c>
      <c r="P71" s="5" t="s">
        <v>95</v>
      </c>
      <c r="Q71" s="5" t="s">
        <v>95</v>
      </c>
      <c r="R71" s="5" t="s">
        <v>95</v>
      </c>
      <c r="S71" s="5" t="s">
        <v>232</v>
      </c>
      <c r="T71" s="8">
        <v>1</v>
      </c>
      <c r="U71" s="5"/>
      <c r="V71" s="5" t="s">
        <v>137</v>
      </c>
      <c r="W71" s="5" t="s">
        <v>124</v>
      </c>
      <c r="X71" s="5" t="s">
        <v>100</v>
      </c>
      <c r="Y71" s="5" t="s">
        <v>545</v>
      </c>
      <c r="Z71" s="5" t="s">
        <v>546</v>
      </c>
      <c r="AA71" s="6" t="s">
        <v>547</v>
      </c>
    </row>
    <row r="72" spans="1:27" ht="20" customHeight="1" x14ac:dyDescent="0.2">
      <c r="A72" s="4" t="s">
        <v>86</v>
      </c>
      <c r="B72" s="5" t="s">
        <v>87</v>
      </c>
      <c r="C72" s="6" t="s">
        <v>548</v>
      </c>
      <c r="D72" s="6" t="s">
        <v>549</v>
      </c>
      <c r="E72" s="6" t="s">
        <v>533</v>
      </c>
      <c r="F72" s="9">
        <v>2</v>
      </c>
      <c r="G72" s="5" t="s">
        <v>550</v>
      </c>
      <c r="H72" s="5" t="s">
        <v>120</v>
      </c>
      <c r="I72" s="5" t="s">
        <v>121</v>
      </c>
      <c r="J72" s="5" t="s">
        <v>95</v>
      </c>
      <c r="K72" s="8">
        <v>3</v>
      </c>
      <c r="L72" s="8">
        <v>3</v>
      </c>
      <c r="M72" s="8">
        <v>2</v>
      </c>
      <c r="N72" s="8">
        <v>5</v>
      </c>
      <c r="O72" s="8">
        <v>2</v>
      </c>
      <c r="P72" s="5" t="s">
        <v>95</v>
      </c>
      <c r="Q72" s="5" t="s">
        <v>95</v>
      </c>
      <c r="R72" s="5" t="s">
        <v>95</v>
      </c>
      <c r="S72" s="5" t="s">
        <v>172</v>
      </c>
      <c r="T72" s="8">
        <v>1</v>
      </c>
      <c r="U72" s="5"/>
      <c r="V72" s="5" t="s">
        <v>137</v>
      </c>
      <c r="W72" s="5" t="s">
        <v>124</v>
      </c>
      <c r="X72" s="5" t="s">
        <v>100</v>
      </c>
      <c r="Y72" s="5" t="s">
        <v>551</v>
      </c>
      <c r="Z72" s="5" t="s">
        <v>552</v>
      </c>
      <c r="AA72" s="6" t="s">
        <v>553</v>
      </c>
    </row>
    <row r="73" spans="1:27" ht="20" customHeight="1" x14ac:dyDescent="0.2">
      <c r="A73" s="4" t="s">
        <v>86</v>
      </c>
      <c r="B73" s="5" t="s">
        <v>87</v>
      </c>
      <c r="C73" s="6" t="s">
        <v>554</v>
      </c>
      <c r="D73" s="6" t="s">
        <v>555</v>
      </c>
      <c r="E73" s="6" t="s">
        <v>533</v>
      </c>
      <c r="F73" s="9">
        <v>2</v>
      </c>
      <c r="G73" s="5" t="s">
        <v>556</v>
      </c>
      <c r="H73" s="5" t="s">
        <v>120</v>
      </c>
      <c r="I73" s="5" t="s">
        <v>121</v>
      </c>
      <c r="J73" s="5" t="s">
        <v>95</v>
      </c>
      <c r="K73" s="8">
        <v>3</v>
      </c>
      <c r="L73" s="8">
        <v>3</v>
      </c>
      <c r="M73" s="8">
        <v>2</v>
      </c>
      <c r="N73" s="8">
        <v>5</v>
      </c>
      <c r="O73" s="8">
        <v>2</v>
      </c>
      <c r="P73" s="5" t="s">
        <v>95</v>
      </c>
      <c r="Q73" s="5" t="s">
        <v>95</v>
      </c>
      <c r="R73" s="5" t="s">
        <v>95</v>
      </c>
      <c r="S73" s="5" t="s">
        <v>232</v>
      </c>
      <c r="T73" s="8">
        <v>1</v>
      </c>
      <c r="U73" s="5"/>
      <c r="V73" s="5" t="s">
        <v>557</v>
      </c>
      <c r="W73" s="5" t="s">
        <v>558</v>
      </c>
      <c r="X73" s="5" t="s">
        <v>100</v>
      </c>
      <c r="Y73" s="5" t="s">
        <v>545</v>
      </c>
      <c r="Z73" s="5" t="s">
        <v>364</v>
      </c>
      <c r="AA73" s="6" t="s">
        <v>559</v>
      </c>
    </row>
    <row r="74" spans="1:27" ht="20" customHeight="1" x14ac:dyDescent="0.2">
      <c r="A74" s="4" t="s">
        <v>86</v>
      </c>
      <c r="B74" s="5" t="s">
        <v>87</v>
      </c>
      <c r="C74" s="6" t="s">
        <v>560</v>
      </c>
      <c r="D74" s="6" t="s">
        <v>561</v>
      </c>
      <c r="E74" s="6" t="s">
        <v>533</v>
      </c>
      <c r="F74" s="9">
        <v>2</v>
      </c>
      <c r="G74" s="5" t="s">
        <v>562</v>
      </c>
      <c r="H74" s="5" t="s">
        <v>120</v>
      </c>
      <c r="I74" s="5" t="s">
        <v>121</v>
      </c>
      <c r="J74" s="5" t="s">
        <v>95</v>
      </c>
      <c r="K74" s="8">
        <v>3</v>
      </c>
      <c r="L74" s="8">
        <v>3</v>
      </c>
      <c r="M74" s="8">
        <v>2</v>
      </c>
      <c r="N74" s="8">
        <v>5</v>
      </c>
      <c r="O74" s="8">
        <v>2</v>
      </c>
      <c r="P74" s="5" t="s">
        <v>95</v>
      </c>
      <c r="Q74" s="5" t="s">
        <v>95</v>
      </c>
      <c r="R74" s="5" t="s">
        <v>95</v>
      </c>
      <c r="S74" s="5" t="s">
        <v>232</v>
      </c>
      <c r="T74" s="8">
        <v>1</v>
      </c>
      <c r="U74" s="5"/>
      <c r="V74" s="5" t="s">
        <v>563</v>
      </c>
      <c r="W74" s="5" t="s">
        <v>564</v>
      </c>
      <c r="X74" s="5" t="s">
        <v>100</v>
      </c>
      <c r="Y74" s="5" t="s">
        <v>545</v>
      </c>
      <c r="Z74" s="5" t="s">
        <v>364</v>
      </c>
      <c r="AA74" s="6" t="s">
        <v>565</v>
      </c>
    </row>
    <row r="75" spans="1:27" ht="20" customHeight="1" x14ac:dyDescent="0.2">
      <c r="A75" s="4" t="s">
        <v>86</v>
      </c>
      <c r="B75" s="5" t="s">
        <v>87</v>
      </c>
      <c r="C75" s="6" t="s">
        <v>566</v>
      </c>
      <c r="D75" s="6" t="s">
        <v>567</v>
      </c>
      <c r="E75" s="6" t="s">
        <v>533</v>
      </c>
      <c r="F75" s="9">
        <v>2</v>
      </c>
      <c r="G75" s="5" t="s">
        <v>568</v>
      </c>
      <c r="H75" s="5" t="s">
        <v>120</v>
      </c>
      <c r="I75" s="5" t="s">
        <v>121</v>
      </c>
      <c r="J75" s="5" t="s">
        <v>95</v>
      </c>
      <c r="K75" s="8">
        <v>3</v>
      </c>
      <c r="L75" s="8">
        <v>3</v>
      </c>
      <c r="M75" s="8">
        <v>2</v>
      </c>
      <c r="N75" s="8">
        <v>5</v>
      </c>
      <c r="O75" s="8">
        <v>2</v>
      </c>
      <c r="P75" s="5" t="s">
        <v>95</v>
      </c>
      <c r="Q75" s="5" t="s">
        <v>95</v>
      </c>
      <c r="R75" s="5" t="s">
        <v>95</v>
      </c>
      <c r="S75" s="5" t="s">
        <v>232</v>
      </c>
      <c r="T75" s="8">
        <v>1</v>
      </c>
      <c r="U75" s="5"/>
      <c r="V75" s="5" t="s">
        <v>569</v>
      </c>
      <c r="W75" s="5" t="s">
        <v>124</v>
      </c>
      <c r="X75" s="5" t="s">
        <v>100</v>
      </c>
      <c r="Y75" s="5" t="s">
        <v>545</v>
      </c>
      <c r="Z75" s="5" t="s">
        <v>364</v>
      </c>
      <c r="AA75" s="6" t="s">
        <v>570</v>
      </c>
    </row>
    <row r="76" spans="1:27" ht="20" customHeight="1" x14ac:dyDescent="0.2">
      <c r="A76" s="4" t="s">
        <v>86</v>
      </c>
      <c r="B76" s="5" t="s">
        <v>87</v>
      </c>
      <c r="C76" s="6" t="s">
        <v>571</v>
      </c>
      <c r="D76" s="6" t="s">
        <v>572</v>
      </c>
      <c r="E76" s="6" t="s">
        <v>533</v>
      </c>
      <c r="F76" s="9">
        <v>2</v>
      </c>
      <c r="G76" s="5" t="s">
        <v>573</v>
      </c>
      <c r="H76" s="5" t="s">
        <v>120</v>
      </c>
      <c r="I76" s="5" t="s">
        <v>121</v>
      </c>
      <c r="J76" s="5" t="s">
        <v>95</v>
      </c>
      <c r="K76" s="8">
        <v>3</v>
      </c>
      <c r="L76" s="8">
        <v>3</v>
      </c>
      <c r="M76" s="8">
        <v>2</v>
      </c>
      <c r="N76" s="8">
        <v>5</v>
      </c>
      <c r="O76" s="8">
        <v>2</v>
      </c>
      <c r="P76" s="5" t="s">
        <v>95</v>
      </c>
      <c r="Q76" s="5" t="s">
        <v>94</v>
      </c>
      <c r="R76" s="5" t="s">
        <v>95</v>
      </c>
      <c r="S76" s="5" t="s">
        <v>232</v>
      </c>
      <c r="T76" s="8">
        <v>1</v>
      </c>
      <c r="U76" s="5"/>
      <c r="V76" s="5" t="s">
        <v>574</v>
      </c>
      <c r="W76" s="5" t="s">
        <v>124</v>
      </c>
      <c r="X76" s="5" t="s">
        <v>100</v>
      </c>
      <c r="Y76" s="5" t="s">
        <v>575</v>
      </c>
      <c r="Z76" s="5" t="s">
        <v>576</v>
      </c>
      <c r="AA76" s="6" t="s">
        <v>577</v>
      </c>
    </row>
    <row r="77" spans="1:27" ht="20" customHeight="1" x14ac:dyDescent="0.2">
      <c r="A77" s="4" t="s">
        <v>86</v>
      </c>
      <c r="B77" s="5" t="s">
        <v>87</v>
      </c>
      <c r="C77" s="6" t="s">
        <v>578</v>
      </c>
      <c r="D77" s="6" t="s">
        <v>579</v>
      </c>
      <c r="E77" s="6" t="s">
        <v>533</v>
      </c>
      <c r="F77" s="9">
        <v>2</v>
      </c>
      <c r="G77" s="5" t="s">
        <v>580</v>
      </c>
      <c r="H77" s="5" t="s">
        <v>92</v>
      </c>
      <c r="I77" s="5" t="s">
        <v>121</v>
      </c>
      <c r="J77" s="5" t="s">
        <v>95</v>
      </c>
      <c r="K77" s="8">
        <v>3</v>
      </c>
      <c r="L77" s="8">
        <v>3</v>
      </c>
      <c r="M77" s="8">
        <v>2</v>
      </c>
      <c r="N77" s="8">
        <v>5</v>
      </c>
      <c r="O77" s="8">
        <v>2</v>
      </c>
      <c r="P77" s="5" t="s">
        <v>94</v>
      </c>
      <c r="Q77" s="5" t="s">
        <v>95</v>
      </c>
      <c r="R77" s="5" t="s">
        <v>95</v>
      </c>
      <c r="S77" s="5" t="s">
        <v>96</v>
      </c>
      <c r="T77" s="8">
        <v>1</v>
      </c>
      <c r="U77" s="5"/>
      <c r="V77" s="5" t="s">
        <v>137</v>
      </c>
      <c r="W77" s="5" t="s">
        <v>124</v>
      </c>
      <c r="X77" s="5" t="s">
        <v>100</v>
      </c>
      <c r="Y77" s="5" t="s">
        <v>581</v>
      </c>
      <c r="Z77" s="5" t="s">
        <v>490</v>
      </c>
      <c r="AA77" s="6" t="s">
        <v>582</v>
      </c>
    </row>
    <row r="78" spans="1:27" ht="20" customHeight="1" x14ac:dyDescent="0.2">
      <c r="A78" s="4" t="s">
        <v>86</v>
      </c>
      <c r="B78" s="5" t="s">
        <v>87</v>
      </c>
      <c r="C78" s="6" t="s">
        <v>583</v>
      </c>
      <c r="D78" s="6" t="s">
        <v>584</v>
      </c>
      <c r="E78" s="6" t="s">
        <v>533</v>
      </c>
      <c r="F78" s="10">
        <v>3</v>
      </c>
      <c r="G78" s="5" t="s">
        <v>585</v>
      </c>
      <c r="H78" s="5" t="s">
        <v>120</v>
      </c>
      <c r="I78" s="5" t="s">
        <v>121</v>
      </c>
      <c r="J78" s="5" t="s">
        <v>95</v>
      </c>
      <c r="K78" s="8">
        <v>1</v>
      </c>
      <c r="L78" s="8">
        <v>1</v>
      </c>
      <c r="M78" s="8">
        <v>0</v>
      </c>
      <c r="N78" s="8">
        <v>3</v>
      </c>
      <c r="O78" s="8">
        <v>1</v>
      </c>
      <c r="P78" s="5" t="s">
        <v>95</v>
      </c>
      <c r="Q78" s="5" t="s">
        <v>95</v>
      </c>
      <c r="R78" s="5" t="s">
        <v>95</v>
      </c>
      <c r="S78" s="5" t="s">
        <v>122</v>
      </c>
      <c r="T78" s="8">
        <v>1</v>
      </c>
      <c r="U78" s="5"/>
      <c r="V78" s="5" t="s">
        <v>586</v>
      </c>
      <c r="W78" s="5" t="s">
        <v>124</v>
      </c>
      <c r="X78" s="5" t="s">
        <v>100</v>
      </c>
      <c r="Y78" s="5" t="s">
        <v>587</v>
      </c>
      <c r="Z78" s="5" t="s">
        <v>588</v>
      </c>
      <c r="AA78" s="6" t="s">
        <v>589</v>
      </c>
    </row>
    <row r="79" spans="1:27" ht="20" customHeight="1" x14ac:dyDescent="0.2">
      <c r="A79" s="4" t="s">
        <v>86</v>
      </c>
      <c r="B79" s="5" t="s">
        <v>87</v>
      </c>
      <c r="C79" s="6" t="s">
        <v>590</v>
      </c>
      <c r="D79" s="6" t="s">
        <v>591</v>
      </c>
      <c r="E79" s="6" t="s">
        <v>533</v>
      </c>
      <c r="F79" s="10">
        <v>3</v>
      </c>
      <c r="G79" s="5" t="s">
        <v>592</v>
      </c>
      <c r="H79" s="5" t="s">
        <v>120</v>
      </c>
      <c r="I79" s="5" t="s">
        <v>121</v>
      </c>
      <c r="J79" s="5" t="s">
        <v>95</v>
      </c>
      <c r="K79" s="8">
        <v>1</v>
      </c>
      <c r="L79" s="8">
        <v>1</v>
      </c>
      <c r="M79" s="8">
        <v>0</v>
      </c>
      <c r="N79" s="8">
        <v>3</v>
      </c>
      <c r="O79" s="8">
        <v>1</v>
      </c>
      <c r="P79" s="5" t="s">
        <v>95</v>
      </c>
      <c r="Q79" s="5" t="s">
        <v>95</v>
      </c>
      <c r="R79" s="5" t="s">
        <v>95</v>
      </c>
      <c r="S79" s="5" t="s">
        <v>232</v>
      </c>
      <c r="T79" s="8">
        <v>1</v>
      </c>
      <c r="U79" s="5"/>
      <c r="V79" s="5" t="s">
        <v>593</v>
      </c>
      <c r="W79" s="5" t="s">
        <v>594</v>
      </c>
      <c r="X79" s="5" t="s">
        <v>100</v>
      </c>
      <c r="Y79" s="5" t="s">
        <v>545</v>
      </c>
      <c r="Z79" s="5" t="s">
        <v>364</v>
      </c>
      <c r="AA79" s="6" t="s">
        <v>595</v>
      </c>
    </row>
    <row r="80" spans="1:27" ht="20" customHeight="1" x14ac:dyDescent="0.2">
      <c r="A80" s="4" t="s">
        <v>86</v>
      </c>
      <c r="B80" s="5" t="s">
        <v>87</v>
      </c>
      <c r="C80" s="6" t="s">
        <v>596</v>
      </c>
      <c r="D80" s="6" t="s">
        <v>597</v>
      </c>
      <c r="E80" s="6" t="s">
        <v>533</v>
      </c>
      <c r="F80" s="10">
        <v>3</v>
      </c>
      <c r="G80" s="5" t="s">
        <v>598</v>
      </c>
      <c r="H80" s="5" t="s">
        <v>120</v>
      </c>
      <c r="I80" s="5" t="s">
        <v>121</v>
      </c>
      <c r="J80" s="5" t="s">
        <v>95</v>
      </c>
      <c r="K80" s="8">
        <v>1</v>
      </c>
      <c r="L80" s="8">
        <v>1</v>
      </c>
      <c r="M80" s="8">
        <v>0</v>
      </c>
      <c r="N80" s="8">
        <v>3</v>
      </c>
      <c r="O80" s="8">
        <v>1</v>
      </c>
      <c r="P80" s="5" t="s">
        <v>95</v>
      </c>
      <c r="Q80" s="5" t="s">
        <v>95</v>
      </c>
      <c r="R80" s="5" t="s">
        <v>95</v>
      </c>
      <c r="S80" s="5" t="s">
        <v>232</v>
      </c>
      <c r="T80" s="8">
        <v>1</v>
      </c>
      <c r="U80" s="5"/>
      <c r="V80" s="5" t="s">
        <v>599</v>
      </c>
      <c r="W80" s="5" t="s">
        <v>124</v>
      </c>
      <c r="X80" s="5" t="s">
        <v>100</v>
      </c>
      <c r="Y80" s="5" t="s">
        <v>545</v>
      </c>
      <c r="Z80" s="5" t="s">
        <v>364</v>
      </c>
      <c r="AA80" s="6" t="s">
        <v>600</v>
      </c>
    </row>
    <row r="81" spans="1:27" ht="20" customHeight="1" x14ac:dyDescent="0.2">
      <c r="A81" s="4" t="s">
        <v>86</v>
      </c>
      <c r="B81" s="5" t="s">
        <v>87</v>
      </c>
      <c r="C81" s="6" t="s">
        <v>601</v>
      </c>
      <c r="D81" s="6" t="s">
        <v>602</v>
      </c>
      <c r="E81" s="6" t="s">
        <v>533</v>
      </c>
      <c r="F81" s="10">
        <v>3</v>
      </c>
      <c r="G81" s="5" t="s">
        <v>603</v>
      </c>
      <c r="H81" s="5" t="s">
        <v>92</v>
      </c>
      <c r="I81" s="5" t="s">
        <v>121</v>
      </c>
      <c r="J81" s="5" t="s">
        <v>95</v>
      </c>
      <c r="K81" s="8">
        <v>1</v>
      </c>
      <c r="L81" s="8">
        <v>1</v>
      </c>
      <c r="M81" s="8">
        <v>0</v>
      </c>
      <c r="N81" s="8">
        <v>3</v>
      </c>
      <c r="O81" s="8">
        <v>1</v>
      </c>
      <c r="P81" s="5" t="s">
        <v>94</v>
      </c>
      <c r="Q81" s="5" t="s">
        <v>95</v>
      </c>
      <c r="R81" s="5" t="s">
        <v>95</v>
      </c>
      <c r="S81" s="5" t="s">
        <v>96</v>
      </c>
      <c r="T81" s="8">
        <v>1</v>
      </c>
      <c r="U81" s="5"/>
      <c r="V81" s="5" t="s">
        <v>137</v>
      </c>
      <c r="W81" s="5" t="s">
        <v>124</v>
      </c>
      <c r="X81" s="5" t="s">
        <v>100</v>
      </c>
      <c r="Y81" s="5" t="s">
        <v>581</v>
      </c>
      <c r="Z81" s="5" t="s">
        <v>490</v>
      </c>
      <c r="AA81" s="6" t="s">
        <v>604</v>
      </c>
    </row>
    <row r="82" spans="1:27" ht="20" customHeight="1" x14ac:dyDescent="0.2">
      <c r="A82" s="4" t="s">
        <v>86</v>
      </c>
      <c r="B82" s="5" t="s">
        <v>87</v>
      </c>
      <c r="C82" s="6" t="s">
        <v>605</v>
      </c>
      <c r="D82" s="6" t="s">
        <v>606</v>
      </c>
      <c r="E82" s="6" t="s">
        <v>533</v>
      </c>
      <c r="F82" s="10">
        <v>3</v>
      </c>
      <c r="G82" s="5" t="s">
        <v>607</v>
      </c>
      <c r="H82" s="5" t="s">
        <v>120</v>
      </c>
      <c r="I82" s="5" t="s">
        <v>121</v>
      </c>
      <c r="J82" s="5" t="s">
        <v>95</v>
      </c>
      <c r="K82" s="8">
        <v>1</v>
      </c>
      <c r="L82" s="8">
        <v>1</v>
      </c>
      <c r="M82" s="8">
        <v>0</v>
      </c>
      <c r="N82" s="8">
        <v>3</v>
      </c>
      <c r="O82" s="8">
        <v>1</v>
      </c>
      <c r="P82" s="5" t="s">
        <v>95</v>
      </c>
      <c r="Q82" s="5" t="s">
        <v>95</v>
      </c>
      <c r="R82" s="5" t="s">
        <v>95</v>
      </c>
      <c r="S82" s="5" t="s">
        <v>232</v>
      </c>
      <c r="T82" s="8">
        <v>1</v>
      </c>
      <c r="U82" s="5"/>
      <c r="V82" s="5" t="s">
        <v>137</v>
      </c>
      <c r="W82" s="5" t="s">
        <v>124</v>
      </c>
      <c r="X82" s="5" t="s">
        <v>100</v>
      </c>
      <c r="Y82" s="5" t="s">
        <v>545</v>
      </c>
      <c r="Z82" s="5" t="s">
        <v>364</v>
      </c>
      <c r="AA82" s="6" t="s">
        <v>608</v>
      </c>
    </row>
    <row r="83" spans="1:27" ht="20" customHeight="1" x14ac:dyDescent="0.2">
      <c r="A83" s="4" t="s">
        <v>86</v>
      </c>
      <c r="B83" s="5" t="s">
        <v>87</v>
      </c>
      <c r="C83" s="6" t="s">
        <v>609</v>
      </c>
      <c r="D83" s="6" t="s">
        <v>610</v>
      </c>
      <c r="E83" s="6" t="s">
        <v>533</v>
      </c>
      <c r="F83" s="10">
        <v>3</v>
      </c>
      <c r="G83" s="5" t="s">
        <v>611</v>
      </c>
      <c r="H83" s="5" t="s">
        <v>120</v>
      </c>
      <c r="I83" s="5" t="s">
        <v>121</v>
      </c>
      <c r="J83" s="5" t="s">
        <v>95</v>
      </c>
      <c r="K83" s="8">
        <v>1</v>
      </c>
      <c r="L83" s="8">
        <v>1</v>
      </c>
      <c r="M83" s="8">
        <v>0</v>
      </c>
      <c r="N83" s="8">
        <v>3</v>
      </c>
      <c r="O83" s="8">
        <v>1</v>
      </c>
      <c r="P83" s="5" t="s">
        <v>95</v>
      </c>
      <c r="Q83" s="5" t="s">
        <v>95</v>
      </c>
      <c r="R83" s="5" t="s">
        <v>95</v>
      </c>
      <c r="S83" s="5" t="s">
        <v>232</v>
      </c>
      <c r="T83" s="8">
        <v>1</v>
      </c>
      <c r="U83" s="5"/>
      <c r="V83" s="5" t="s">
        <v>137</v>
      </c>
      <c r="W83" s="5" t="s">
        <v>124</v>
      </c>
      <c r="X83" s="5" t="s">
        <v>100</v>
      </c>
      <c r="Y83" s="5" t="s">
        <v>545</v>
      </c>
      <c r="Z83" s="5" t="s">
        <v>364</v>
      </c>
      <c r="AA83" s="6" t="s">
        <v>612</v>
      </c>
    </row>
    <row r="84" spans="1:27" ht="20" customHeight="1" x14ac:dyDescent="0.2">
      <c r="A84" s="4" t="s">
        <v>86</v>
      </c>
      <c r="B84" s="5" t="s">
        <v>87</v>
      </c>
      <c r="C84" s="6" t="s">
        <v>613</v>
      </c>
      <c r="D84" s="6" t="s">
        <v>614</v>
      </c>
      <c r="E84" s="6" t="s">
        <v>533</v>
      </c>
      <c r="F84" s="10">
        <v>3</v>
      </c>
      <c r="G84" s="5" t="s">
        <v>615</v>
      </c>
      <c r="H84" s="5" t="s">
        <v>120</v>
      </c>
      <c r="I84" s="5" t="s">
        <v>121</v>
      </c>
      <c r="J84" s="5" t="s">
        <v>95</v>
      </c>
      <c r="K84" s="8">
        <v>1</v>
      </c>
      <c r="L84" s="8">
        <v>1</v>
      </c>
      <c r="M84" s="8">
        <v>0</v>
      </c>
      <c r="N84" s="8">
        <v>3</v>
      </c>
      <c r="O84" s="8">
        <v>1</v>
      </c>
      <c r="P84" s="5" t="s">
        <v>95</v>
      </c>
      <c r="Q84" s="5" t="s">
        <v>95</v>
      </c>
      <c r="R84" s="5" t="s">
        <v>95</v>
      </c>
      <c r="S84" s="5" t="s">
        <v>232</v>
      </c>
      <c r="T84" s="8">
        <v>1</v>
      </c>
      <c r="U84" s="5"/>
      <c r="V84" s="5" t="s">
        <v>616</v>
      </c>
      <c r="W84" s="5" t="s">
        <v>124</v>
      </c>
      <c r="X84" s="5" t="s">
        <v>100</v>
      </c>
      <c r="Y84" s="5" t="s">
        <v>545</v>
      </c>
      <c r="Z84" s="5" t="s">
        <v>617</v>
      </c>
      <c r="AA84" s="6" t="s">
        <v>618</v>
      </c>
    </row>
    <row r="85" spans="1:27" ht="20" customHeight="1" x14ac:dyDescent="0.2">
      <c r="A85" s="4" t="s">
        <v>86</v>
      </c>
      <c r="B85" s="5" t="s">
        <v>87</v>
      </c>
      <c r="C85" s="6" t="s">
        <v>619</v>
      </c>
      <c r="D85" s="6" t="s">
        <v>620</v>
      </c>
      <c r="E85" s="6" t="s">
        <v>533</v>
      </c>
      <c r="F85" s="10">
        <v>3</v>
      </c>
      <c r="G85" s="5" t="s">
        <v>621</v>
      </c>
      <c r="H85" s="5" t="s">
        <v>120</v>
      </c>
      <c r="I85" s="5" t="s">
        <v>121</v>
      </c>
      <c r="J85" s="5" t="s">
        <v>95</v>
      </c>
      <c r="K85" s="8">
        <v>1</v>
      </c>
      <c r="L85" s="8">
        <v>1</v>
      </c>
      <c r="M85" s="8">
        <v>0</v>
      </c>
      <c r="N85" s="8">
        <v>3</v>
      </c>
      <c r="O85" s="8">
        <v>1</v>
      </c>
      <c r="P85" s="5" t="s">
        <v>95</v>
      </c>
      <c r="Q85" s="5" t="s">
        <v>95</v>
      </c>
      <c r="R85" s="5" t="s">
        <v>95</v>
      </c>
      <c r="S85" s="5" t="s">
        <v>232</v>
      </c>
      <c r="T85" s="8">
        <v>1</v>
      </c>
      <c r="U85" s="5"/>
      <c r="V85" s="5" t="s">
        <v>622</v>
      </c>
      <c r="W85" s="5" t="s">
        <v>124</v>
      </c>
      <c r="X85" s="5" t="s">
        <v>100</v>
      </c>
      <c r="Y85" s="5" t="s">
        <v>545</v>
      </c>
      <c r="Z85" s="5" t="s">
        <v>364</v>
      </c>
      <c r="AA85" s="6" t="s">
        <v>623</v>
      </c>
    </row>
    <row r="86" spans="1:27" ht="20" customHeight="1" x14ac:dyDescent="0.2">
      <c r="A86" s="4" t="s">
        <v>86</v>
      </c>
      <c r="B86" s="5" t="s">
        <v>87</v>
      </c>
      <c r="C86" s="6" t="s">
        <v>624</v>
      </c>
      <c r="D86" s="6" t="s">
        <v>625</v>
      </c>
      <c r="E86" s="6" t="s">
        <v>533</v>
      </c>
      <c r="F86" s="10">
        <v>3</v>
      </c>
      <c r="G86" s="5" t="s">
        <v>611</v>
      </c>
      <c r="H86" s="5" t="s">
        <v>120</v>
      </c>
      <c r="I86" s="5" t="s">
        <v>121</v>
      </c>
      <c r="J86" s="5" t="s">
        <v>95</v>
      </c>
      <c r="K86" s="8">
        <v>1</v>
      </c>
      <c r="L86" s="8">
        <v>1</v>
      </c>
      <c r="M86" s="8">
        <v>0</v>
      </c>
      <c r="N86" s="8">
        <v>3</v>
      </c>
      <c r="O86" s="8">
        <v>1</v>
      </c>
      <c r="P86" s="5" t="s">
        <v>95</v>
      </c>
      <c r="Q86" s="5" t="s">
        <v>95</v>
      </c>
      <c r="R86" s="5" t="s">
        <v>95</v>
      </c>
      <c r="S86" s="5" t="s">
        <v>232</v>
      </c>
      <c r="T86" s="8">
        <v>1</v>
      </c>
      <c r="U86" s="5"/>
      <c r="V86" s="5" t="s">
        <v>137</v>
      </c>
      <c r="W86" s="5" t="s">
        <v>124</v>
      </c>
      <c r="X86" s="5" t="s">
        <v>100</v>
      </c>
      <c r="Y86" s="5" t="s">
        <v>626</v>
      </c>
      <c r="Z86" s="5" t="s">
        <v>627</v>
      </c>
      <c r="AA86" s="6" t="s">
        <v>628</v>
      </c>
    </row>
    <row r="87" spans="1:27" ht="20" customHeight="1" x14ac:dyDescent="0.2">
      <c r="A87" s="4" t="s">
        <v>86</v>
      </c>
      <c r="B87" s="5" t="s">
        <v>87</v>
      </c>
      <c r="C87" s="6" t="s">
        <v>629</v>
      </c>
      <c r="D87" s="6" t="s">
        <v>630</v>
      </c>
      <c r="E87" s="6" t="s">
        <v>631</v>
      </c>
      <c r="F87" s="7">
        <v>1</v>
      </c>
      <c r="G87" s="5" t="s">
        <v>632</v>
      </c>
      <c r="H87" s="5" t="s">
        <v>92</v>
      </c>
      <c r="I87" s="5" t="s">
        <v>384</v>
      </c>
      <c r="J87" s="5" t="s">
        <v>95</v>
      </c>
      <c r="K87" s="8">
        <v>5</v>
      </c>
      <c r="L87" s="8">
        <v>5</v>
      </c>
      <c r="M87" s="8">
        <v>4</v>
      </c>
      <c r="N87" s="8">
        <v>7</v>
      </c>
      <c r="O87" s="8">
        <v>3</v>
      </c>
      <c r="P87" s="5" t="s">
        <v>95</v>
      </c>
      <c r="Q87" s="5" t="s">
        <v>95</v>
      </c>
      <c r="R87" s="5" t="s">
        <v>94</v>
      </c>
      <c r="S87" s="5" t="s">
        <v>122</v>
      </c>
      <c r="T87" s="8">
        <v>1</v>
      </c>
      <c r="U87" s="5" t="s">
        <v>633</v>
      </c>
      <c r="V87" s="5" t="s">
        <v>634</v>
      </c>
      <c r="W87" s="5" t="s">
        <v>635</v>
      </c>
      <c r="X87" s="5" t="s">
        <v>100</v>
      </c>
      <c r="Y87" s="5" t="s">
        <v>636</v>
      </c>
      <c r="Z87" s="5" t="s">
        <v>637</v>
      </c>
      <c r="AA87" s="6" t="s">
        <v>638</v>
      </c>
    </row>
    <row r="88" spans="1:27" ht="20" customHeight="1" x14ac:dyDescent="0.2">
      <c r="A88" s="4" t="s">
        <v>86</v>
      </c>
      <c r="B88" s="5" t="s">
        <v>87</v>
      </c>
      <c r="C88" s="6" t="s">
        <v>639</v>
      </c>
      <c r="D88" s="6" t="s">
        <v>640</v>
      </c>
      <c r="E88" s="6" t="s">
        <v>631</v>
      </c>
      <c r="F88" s="7">
        <v>1</v>
      </c>
      <c r="G88" s="5" t="s">
        <v>641</v>
      </c>
      <c r="H88" s="5" t="s">
        <v>92</v>
      </c>
      <c r="I88" s="5" t="s">
        <v>384</v>
      </c>
      <c r="J88" s="5" t="s">
        <v>95</v>
      </c>
      <c r="K88" s="8">
        <v>5</v>
      </c>
      <c r="L88" s="8">
        <v>5</v>
      </c>
      <c r="M88" s="8">
        <v>4</v>
      </c>
      <c r="N88" s="8">
        <v>7</v>
      </c>
      <c r="O88" s="8">
        <v>3</v>
      </c>
      <c r="P88" s="5" t="s">
        <v>94</v>
      </c>
      <c r="Q88" s="5" t="s">
        <v>95</v>
      </c>
      <c r="R88" s="5" t="s">
        <v>94</v>
      </c>
      <c r="S88" s="5" t="s">
        <v>96</v>
      </c>
      <c r="T88" s="8">
        <v>1</v>
      </c>
      <c r="U88" s="5" t="s">
        <v>642</v>
      </c>
      <c r="V88" s="5" t="s">
        <v>643</v>
      </c>
      <c r="W88" s="5" t="s">
        <v>124</v>
      </c>
      <c r="X88" s="5" t="s">
        <v>100</v>
      </c>
      <c r="Y88" s="5" t="s">
        <v>644</v>
      </c>
      <c r="Z88" s="5" t="s">
        <v>645</v>
      </c>
      <c r="AA88" s="6" t="s">
        <v>646</v>
      </c>
    </row>
    <row r="89" spans="1:27" ht="20" customHeight="1" x14ac:dyDescent="0.2">
      <c r="A89" s="4" t="s">
        <v>86</v>
      </c>
      <c r="B89" s="5" t="s">
        <v>87</v>
      </c>
      <c r="C89" s="6" t="s">
        <v>647</v>
      </c>
      <c r="D89" s="6" t="s">
        <v>648</v>
      </c>
      <c r="E89" s="6" t="s">
        <v>631</v>
      </c>
      <c r="F89" s="9">
        <v>2</v>
      </c>
      <c r="G89" s="5" t="s">
        <v>649</v>
      </c>
      <c r="H89" s="5" t="s">
        <v>120</v>
      </c>
      <c r="I89" s="5" t="s">
        <v>121</v>
      </c>
      <c r="J89" s="5" t="s">
        <v>95</v>
      </c>
      <c r="K89" s="8">
        <v>3</v>
      </c>
      <c r="L89" s="8">
        <v>3</v>
      </c>
      <c r="M89" s="8">
        <v>2</v>
      </c>
      <c r="N89" s="8">
        <v>5</v>
      </c>
      <c r="O89" s="8">
        <v>2</v>
      </c>
      <c r="P89" s="5" t="s">
        <v>95</v>
      </c>
      <c r="Q89" s="5" t="s">
        <v>95</v>
      </c>
      <c r="R89" s="5" t="s">
        <v>95</v>
      </c>
      <c r="S89" s="5" t="s">
        <v>327</v>
      </c>
      <c r="T89" s="8">
        <v>1</v>
      </c>
      <c r="U89" s="5"/>
      <c r="V89" s="5" t="s">
        <v>650</v>
      </c>
      <c r="W89" s="5" t="s">
        <v>651</v>
      </c>
      <c r="X89" s="5" t="s">
        <v>100</v>
      </c>
      <c r="Y89" s="5" t="s">
        <v>652</v>
      </c>
      <c r="Z89" s="5" t="s">
        <v>653</v>
      </c>
      <c r="AA89" s="6" t="s">
        <v>654</v>
      </c>
    </row>
    <row r="90" spans="1:27" ht="20" customHeight="1" x14ac:dyDescent="0.2">
      <c r="A90" s="4" t="s">
        <v>86</v>
      </c>
      <c r="B90" s="5" t="s">
        <v>87</v>
      </c>
      <c r="C90" s="6" t="s">
        <v>655</v>
      </c>
      <c r="D90" s="6" t="s">
        <v>656</v>
      </c>
      <c r="E90" s="6" t="s">
        <v>631</v>
      </c>
      <c r="F90" s="9">
        <v>2</v>
      </c>
      <c r="G90" s="5" t="s">
        <v>657</v>
      </c>
      <c r="H90" s="5" t="s">
        <v>120</v>
      </c>
      <c r="I90" s="5" t="s">
        <v>121</v>
      </c>
      <c r="J90" s="5" t="s">
        <v>95</v>
      </c>
      <c r="K90" s="8">
        <v>3</v>
      </c>
      <c r="L90" s="8">
        <v>3</v>
      </c>
      <c r="M90" s="8">
        <v>2</v>
      </c>
      <c r="N90" s="8">
        <v>5</v>
      </c>
      <c r="O90" s="8">
        <v>2</v>
      </c>
      <c r="P90" s="5" t="s">
        <v>95</v>
      </c>
      <c r="Q90" s="5" t="s">
        <v>95</v>
      </c>
      <c r="R90" s="5" t="s">
        <v>95</v>
      </c>
      <c r="S90" s="5" t="s">
        <v>122</v>
      </c>
      <c r="T90" s="8">
        <v>1</v>
      </c>
      <c r="U90" s="5"/>
      <c r="V90" s="5" t="s">
        <v>658</v>
      </c>
      <c r="W90" s="5" t="s">
        <v>659</v>
      </c>
      <c r="X90" s="5" t="s">
        <v>100</v>
      </c>
      <c r="Y90" s="5" t="s">
        <v>660</v>
      </c>
      <c r="Z90" s="5" t="s">
        <v>661</v>
      </c>
      <c r="AA90" s="6" t="s">
        <v>662</v>
      </c>
    </row>
    <row r="91" spans="1:27" ht="20" customHeight="1" x14ac:dyDescent="0.2">
      <c r="A91" s="4" t="s">
        <v>86</v>
      </c>
      <c r="B91" s="5" t="s">
        <v>87</v>
      </c>
      <c r="C91" s="6" t="s">
        <v>663</v>
      </c>
      <c r="D91" s="6" t="s">
        <v>664</v>
      </c>
      <c r="E91" s="6" t="s">
        <v>631</v>
      </c>
      <c r="F91" s="9">
        <v>2</v>
      </c>
      <c r="G91" s="5" t="s">
        <v>665</v>
      </c>
      <c r="H91" s="5" t="s">
        <v>120</v>
      </c>
      <c r="I91" s="5" t="s">
        <v>121</v>
      </c>
      <c r="J91" s="5" t="s">
        <v>95</v>
      </c>
      <c r="K91" s="8">
        <v>3</v>
      </c>
      <c r="L91" s="8">
        <v>3</v>
      </c>
      <c r="M91" s="8">
        <v>2</v>
      </c>
      <c r="N91" s="8">
        <v>5</v>
      </c>
      <c r="O91" s="8">
        <v>2</v>
      </c>
      <c r="P91" s="5" t="s">
        <v>95</v>
      </c>
      <c r="Q91" s="5" t="s">
        <v>95</v>
      </c>
      <c r="R91" s="5" t="s">
        <v>95</v>
      </c>
      <c r="S91" s="5" t="s">
        <v>172</v>
      </c>
      <c r="T91" s="8">
        <v>1</v>
      </c>
      <c r="U91" s="5"/>
      <c r="V91" s="5" t="s">
        <v>666</v>
      </c>
      <c r="W91" s="5" t="s">
        <v>124</v>
      </c>
      <c r="X91" s="5" t="s">
        <v>100</v>
      </c>
      <c r="Y91" s="5" t="s">
        <v>667</v>
      </c>
      <c r="Z91" s="5" t="s">
        <v>668</v>
      </c>
      <c r="AA91" s="6" t="s">
        <v>669</v>
      </c>
    </row>
    <row r="92" spans="1:27" ht="20" customHeight="1" x14ac:dyDescent="0.2">
      <c r="A92" s="4" t="s">
        <v>86</v>
      </c>
      <c r="B92" s="5" t="s">
        <v>87</v>
      </c>
      <c r="C92" s="6" t="s">
        <v>670</v>
      </c>
      <c r="D92" s="6" t="s">
        <v>671</v>
      </c>
      <c r="E92" s="6" t="s">
        <v>631</v>
      </c>
      <c r="F92" s="9">
        <v>2</v>
      </c>
      <c r="G92" s="5" t="s">
        <v>672</v>
      </c>
      <c r="H92" s="5" t="s">
        <v>120</v>
      </c>
      <c r="I92" s="5" t="s">
        <v>121</v>
      </c>
      <c r="J92" s="5" t="s">
        <v>95</v>
      </c>
      <c r="K92" s="8">
        <v>3</v>
      </c>
      <c r="L92" s="8">
        <v>3</v>
      </c>
      <c r="M92" s="8">
        <v>2</v>
      </c>
      <c r="N92" s="8">
        <v>5</v>
      </c>
      <c r="O92" s="8">
        <v>2</v>
      </c>
      <c r="P92" s="5" t="s">
        <v>95</v>
      </c>
      <c r="Q92" s="5" t="s">
        <v>95</v>
      </c>
      <c r="R92" s="5" t="s">
        <v>95</v>
      </c>
      <c r="S92" s="5" t="s">
        <v>122</v>
      </c>
      <c r="T92" s="8">
        <v>1</v>
      </c>
      <c r="U92" s="5"/>
      <c r="V92" s="5" t="s">
        <v>673</v>
      </c>
      <c r="W92" s="5" t="s">
        <v>124</v>
      </c>
      <c r="X92" s="5" t="s">
        <v>100</v>
      </c>
      <c r="Y92" s="5" t="s">
        <v>674</v>
      </c>
      <c r="Z92" s="5" t="s">
        <v>675</v>
      </c>
      <c r="AA92" s="6" t="s">
        <v>676</v>
      </c>
    </row>
    <row r="93" spans="1:27" ht="20" customHeight="1" x14ac:dyDescent="0.2">
      <c r="A93" s="4" t="s">
        <v>86</v>
      </c>
      <c r="B93" s="5" t="s">
        <v>87</v>
      </c>
      <c r="C93" s="6" t="s">
        <v>677</v>
      </c>
      <c r="D93" s="6" t="s">
        <v>678</v>
      </c>
      <c r="E93" s="6" t="s">
        <v>631</v>
      </c>
      <c r="F93" s="9">
        <v>2</v>
      </c>
      <c r="G93" s="5" t="s">
        <v>679</v>
      </c>
      <c r="H93" s="5" t="s">
        <v>120</v>
      </c>
      <c r="I93" s="5" t="s">
        <v>121</v>
      </c>
      <c r="J93" s="5" t="s">
        <v>95</v>
      </c>
      <c r="K93" s="8">
        <v>3</v>
      </c>
      <c r="L93" s="8">
        <v>3</v>
      </c>
      <c r="M93" s="8">
        <v>2</v>
      </c>
      <c r="N93" s="8">
        <v>5</v>
      </c>
      <c r="O93" s="8">
        <v>2</v>
      </c>
      <c r="P93" s="5" t="s">
        <v>95</v>
      </c>
      <c r="Q93" s="5" t="s">
        <v>95</v>
      </c>
      <c r="R93" s="5" t="s">
        <v>95</v>
      </c>
      <c r="S93" s="5" t="s">
        <v>172</v>
      </c>
      <c r="T93" s="8">
        <v>1</v>
      </c>
      <c r="U93" s="5"/>
      <c r="V93" s="5" t="s">
        <v>680</v>
      </c>
      <c r="W93" s="5" t="s">
        <v>681</v>
      </c>
      <c r="X93" s="5" t="s">
        <v>100</v>
      </c>
      <c r="Y93" s="5" t="s">
        <v>660</v>
      </c>
      <c r="Z93" s="5" t="s">
        <v>682</v>
      </c>
      <c r="AA93" s="6" t="s">
        <v>683</v>
      </c>
    </row>
    <row r="94" spans="1:27" ht="20" customHeight="1" x14ac:dyDescent="0.2">
      <c r="A94" s="4" t="s">
        <v>86</v>
      </c>
      <c r="B94" s="5" t="s">
        <v>87</v>
      </c>
      <c r="C94" s="6" t="s">
        <v>684</v>
      </c>
      <c r="D94" s="6" t="s">
        <v>685</v>
      </c>
      <c r="E94" s="6" t="s">
        <v>631</v>
      </c>
      <c r="F94" s="9">
        <v>2</v>
      </c>
      <c r="G94" s="5" t="s">
        <v>686</v>
      </c>
      <c r="H94" s="5" t="s">
        <v>120</v>
      </c>
      <c r="I94" s="5" t="s">
        <v>121</v>
      </c>
      <c r="J94" s="5" t="s">
        <v>95</v>
      </c>
      <c r="K94" s="8">
        <v>3</v>
      </c>
      <c r="L94" s="8">
        <v>3</v>
      </c>
      <c r="M94" s="8">
        <v>2</v>
      </c>
      <c r="N94" s="8">
        <v>5</v>
      </c>
      <c r="O94" s="8">
        <v>2</v>
      </c>
      <c r="P94" s="5" t="s">
        <v>95</v>
      </c>
      <c r="Q94" s="5" t="s">
        <v>94</v>
      </c>
      <c r="R94" s="5" t="s">
        <v>95</v>
      </c>
      <c r="S94" s="5" t="s">
        <v>385</v>
      </c>
      <c r="T94" s="8">
        <v>1</v>
      </c>
      <c r="U94" s="5"/>
      <c r="V94" s="5" t="s">
        <v>687</v>
      </c>
      <c r="W94" s="5" t="s">
        <v>124</v>
      </c>
      <c r="X94" s="5" t="s">
        <v>100</v>
      </c>
      <c r="Y94" s="5" t="s">
        <v>688</v>
      </c>
      <c r="Z94" s="5" t="s">
        <v>689</v>
      </c>
      <c r="AA94" s="6" t="s">
        <v>690</v>
      </c>
    </row>
    <row r="95" spans="1:27" ht="20" customHeight="1" x14ac:dyDescent="0.2">
      <c r="A95" s="4" t="s">
        <v>86</v>
      </c>
      <c r="B95" s="5" t="s">
        <v>87</v>
      </c>
      <c r="C95" s="6" t="s">
        <v>691</v>
      </c>
      <c r="D95" s="6" t="s">
        <v>692</v>
      </c>
      <c r="E95" s="6" t="s">
        <v>631</v>
      </c>
      <c r="F95" s="9">
        <v>2</v>
      </c>
      <c r="G95" s="5" t="s">
        <v>693</v>
      </c>
      <c r="H95" s="5" t="s">
        <v>120</v>
      </c>
      <c r="I95" s="5" t="s">
        <v>121</v>
      </c>
      <c r="J95" s="5" t="s">
        <v>95</v>
      </c>
      <c r="K95" s="8">
        <v>3</v>
      </c>
      <c r="L95" s="8">
        <v>3</v>
      </c>
      <c r="M95" s="8">
        <v>2</v>
      </c>
      <c r="N95" s="8">
        <v>5</v>
      </c>
      <c r="O95" s="8">
        <v>2</v>
      </c>
      <c r="P95" s="5" t="s">
        <v>95</v>
      </c>
      <c r="Q95" s="5" t="s">
        <v>95</v>
      </c>
      <c r="R95" s="5" t="s">
        <v>95</v>
      </c>
      <c r="S95" s="5" t="s">
        <v>327</v>
      </c>
      <c r="T95" s="8">
        <v>1</v>
      </c>
      <c r="U95" s="5"/>
      <c r="V95" s="5" t="s">
        <v>694</v>
      </c>
      <c r="W95" s="5" t="s">
        <v>124</v>
      </c>
      <c r="X95" s="5" t="s">
        <v>100</v>
      </c>
      <c r="Y95" s="5" t="s">
        <v>695</v>
      </c>
      <c r="Z95" s="5" t="s">
        <v>696</v>
      </c>
      <c r="AA95" s="6" t="s">
        <v>697</v>
      </c>
    </row>
    <row r="96" spans="1:27" ht="20" customHeight="1" x14ac:dyDescent="0.2">
      <c r="A96" s="4" t="s">
        <v>86</v>
      </c>
      <c r="B96" s="5" t="s">
        <v>87</v>
      </c>
      <c r="C96" s="6" t="s">
        <v>698</v>
      </c>
      <c r="D96" s="6" t="s">
        <v>699</v>
      </c>
      <c r="E96" s="6" t="s">
        <v>631</v>
      </c>
      <c r="F96" s="10">
        <v>3</v>
      </c>
      <c r="G96" s="5" t="s">
        <v>700</v>
      </c>
      <c r="H96" s="5" t="s">
        <v>92</v>
      </c>
      <c r="I96" s="5" t="s">
        <v>121</v>
      </c>
      <c r="J96" s="5" t="s">
        <v>95</v>
      </c>
      <c r="K96" s="8">
        <v>1</v>
      </c>
      <c r="L96" s="8">
        <v>1</v>
      </c>
      <c r="M96" s="8">
        <v>0</v>
      </c>
      <c r="N96" s="8">
        <v>3</v>
      </c>
      <c r="O96" s="8">
        <v>1</v>
      </c>
      <c r="P96" s="5" t="s">
        <v>94</v>
      </c>
      <c r="Q96" s="5" t="s">
        <v>95</v>
      </c>
      <c r="R96" s="5" t="s">
        <v>95</v>
      </c>
      <c r="S96" s="5" t="s">
        <v>472</v>
      </c>
      <c r="T96" s="8">
        <v>1</v>
      </c>
      <c r="U96" s="5"/>
      <c r="V96" s="5" t="s">
        <v>137</v>
      </c>
      <c r="W96" s="5" t="s">
        <v>124</v>
      </c>
      <c r="X96" s="5" t="s">
        <v>100</v>
      </c>
      <c r="Y96" s="5" t="s">
        <v>701</v>
      </c>
      <c r="Z96" s="5" t="s">
        <v>702</v>
      </c>
      <c r="AA96" s="6" t="s">
        <v>703</v>
      </c>
    </row>
    <row r="97" spans="1:27" ht="20" customHeight="1" x14ac:dyDescent="0.2">
      <c r="A97" s="4" t="s">
        <v>86</v>
      </c>
      <c r="B97" s="5" t="s">
        <v>87</v>
      </c>
      <c r="C97" s="6" t="s">
        <v>704</v>
      </c>
      <c r="D97" s="6" t="s">
        <v>705</v>
      </c>
      <c r="E97" s="6" t="s">
        <v>631</v>
      </c>
      <c r="F97" s="10">
        <v>3</v>
      </c>
      <c r="G97" s="5" t="s">
        <v>706</v>
      </c>
      <c r="H97" s="5" t="s">
        <v>120</v>
      </c>
      <c r="I97" s="5" t="s">
        <v>121</v>
      </c>
      <c r="J97" s="5" t="s">
        <v>95</v>
      </c>
      <c r="K97" s="8">
        <v>1</v>
      </c>
      <c r="L97" s="8">
        <v>1</v>
      </c>
      <c r="M97" s="8">
        <v>0</v>
      </c>
      <c r="N97" s="8">
        <v>3</v>
      </c>
      <c r="O97" s="8">
        <v>1</v>
      </c>
      <c r="P97" s="5" t="s">
        <v>95</v>
      </c>
      <c r="Q97" s="5" t="s">
        <v>95</v>
      </c>
      <c r="R97" s="5" t="s">
        <v>95</v>
      </c>
      <c r="S97" s="5" t="s">
        <v>122</v>
      </c>
      <c r="T97" s="8">
        <v>1</v>
      </c>
      <c r="U97" s="5"/>
      <c r="V97" s="5" t="s">
        <v>137</v>
      </c>
      <c r="W97" s="5" t="s">
        <v>124</v>
      </c>
      <c r="X97" s="5" t="s">
        <v>100</v>
      </c>
      <c r="Y97" s="5" t="s">
        <v>707</v>
      </c>
      <c r="Z97" s="5" t="s">
        <v>708</v>
      </c>
      <c r="AA97" s="6" t="s">
        <v>709</v>
      </c>
    </row>
    <row r="98" spans="1:27" ht="20" customHeight="1" x14ac:dyDescent="0.2">
      <c r="A98" s="4" t="s">
        <v>86</v>
      </c>
      <c r="B98" s="5" t="s">
        <v>87</v>
      </c>
      <c r="C98" s="6" t="s">
        <v>710</v>
      </c>
      <c r="D98" s="6" t="s">
        <v>711</v>
      </c>
      <c r="E98" s="6" t="s">
        <v>631</v>
      </c>
      <c r="F98" s="10">
        <v>3</v>
      </c>
      <c r="G98" s="5" t="s">
        <v>712</v>
      </c>
      <c r="H98" s="5" t="s">
        <v>120</v>
      </c>
      <c r="I98" s="5" t="s">
        <v>121</v>
      </c>
      <c r="J98" s="5" t="s">
        <v>95</v>
      </c>
      <c r="K98" s="8">
        <v>1</v>
      </c>
      <c r="L98" s="8">
        <v>1</v>
      </c>
      <c r="M98" s="8">
        <v>0</v>
      </c>
      <c r="N98" s="8">
        <v>3</v>
      </c>
      <c r="O98" s="8">
        <v>1</v>
      </c>
      <c r="P98" s="5" t="s">
        <v>95</v>
      </c>
      <c r="Q98" s="5" t="s">
        <v>95</v>
      </c>
      <c r="R98" s="5" t="s">
        <v>95</v>
      </c>
      <c r="S98" s="5" t="s">
        <v>122</v>
      </c>
      <c r="T98" s="8">
        <v>1</v>
      </c>
      <c r="U98" s="5"/>
      <c r="V98" s="5" t="s">
        <v>713</v>
      </c>
      <c r="W98" s="5" t="s">
        <v>714</v>
      </c>
      <c r="X98" s="5" t="s">
        <v>100</v>
      </c>
      <c r="Y98" s="5" t="s">
        <v>660</v>
      </c>
      <c r="Z98" s="5" t="s">
        <v>715</v>
      </c>
      <c r="AA98" s="6" t="s">
        <v>716</v>
      </c>
    </row>
    <row r="99" spans="1:27" ht="20" customHeight="1" x14ac:dyDescent="0.2">
      <c r="A99" s="4" t="s">
        <v>86</v>
      </c>
      <c r="B99" s="5" t="s">
        <v>87</v>
      </c>
      <c r="C99" s="6" t="s">
        <v>717</v>
      </c>
      <c r="D99" s="6" t="s">
        <v>718</v>
      </c>
      <c r="E99" s="6" t="s">
        <v>631</v>
      </c>
      <c r="F99" s="10">
        <v>3</v>
      </c>
      <c r="G99" s="5" t="s">
        <v>719</v>
      </c>
      <c r="H99" s="5" t="s">
        <v>120</v>
      </c>
      <c r="I99" s="5" t="s">
        <v>121</v>
      </c>
      <c r="J99" s="5" t="s">
        <v>95</v>
      </c>
      <c r="K99" s="8">
        <v>1</v>
      </c>
      <c r="L99" s="8">
        <v>1</v>
      </c>
      <c r="M99" s="8">
        <v>0</v>
      </c>
      <c r="N99" s="8">
        <v>3</v>
      </c>
      <c r="O99" s="8">
        <v>1</v>
      </c>
      <c r="P99" s="5" t="s">
        <v>95</v>
      </c>
      <c r="Q99" s="5" t="s">
        <v>95</v>
      </c>
      <c r="R99" s="5" t="s">
        <v>95</v>
      </c>
      <c r="S99" s="5" t="s">
        <v>122</v>
      </c>
      <c r="T99" s="8">
        <v>1</v>
      </c>
      <c r="U99" s="5"/>
      <c r="V99" s="5" t="s">
        <v>137</v>
      </c>
      <c r="W99" s="5" t="s">
        <v>124</v>
      </c>
      <c r="X99" s="5" t="s">
        <v>100</v>
      </c>
      <c r="Y99" s="5" t="s">
        <v>660</v>
      </c>
      <c r="Z99" s="5" t="s">
        <v>126</v>
      </c>
      <c r="AA99" s="6" t="s">
        <v>720</v>
      </c>
    </row>
    <row r="100" spans="1:27" ht="20" customHeight="1" x14ac:dyDescent="0.2">
      <c r="A100" s="4" t="s">
        <v>86</v>
      </c>
      <c r="B100" s="5" t="s">
        <v>87</v>
      </c>
      <c r="C100" s="6" t="s">
        <v>721</v>
      </c>
      <c r="D100" s="6" t="s">
        <v>722</v>
      </c>
      <c r="E100" s="6" t="s">
        <v>631</v>
      </c>
      <c r="F100" s="10">
        <v>3</v>
      </c>
      <c r="G100" s="5" t="s">
        <v>723</v>
      </c>
      <c r="H100" s="5" t="s">
        <v>120</v>
      </c>
      <c r="I100" s="5" t="s">
        <v>121</v>
      </c>
      <c r="J100" s="5" t="s">
        <v>95</v>
      </c>
      <c r="K100" s="8">
        <v>1</v>
      </c>
      <c r="L100" s="8">
        <v>1</v>
      </c>
      <c r="M100" s="8">
        <v>0</v>
      </c>
      <c r="N100" s="8">
        <v>3</v>
      </c>
      <c r="O100" s="8">
        <v>1</v>
      </c>
      <c r="P100" s="5" t="s">
        <v>95</v>
      </c>
      <c r="Q100" s="5" t="s">
        <v>95</v>
      </c>
      <c r="R100" s="5" t="s">
        <v>95</v>
      </c>
      <c r="S100" s="5" t="s">
        <v>122</v>
      </c>
      <c r="T100" s="8">
        <v>1</v>
      </c>
      <c r="U100" s="5"/>
      <c r="V100" s="5" t="s">
        <v>724</v>
      </c>
      <c r="W100" s="5" t="s">
        <v>124</v>
      </c>
      <c r="X100" s="5" t="s">
        <v>100</v>
      </c>
      <c r="Y100" s="5" t="s">
        <v>725</v>
      </c>
      <c r="Z100" s="5" t="s">
        <v>726</v>
      </c>
      <c r="AA100" s="6" t="s">
        <v>727</v>
      </c>
    </row>
    <row r="101" spans="1:27" ht="20" customHeight="1" x14ac:dyDescent="0.2">
      <c r="A101" s="4" t="s">
        <v>86</v>
      </c>
      <c r="B101" s="5" t="s">
        <v>87</v>
      </c>
      <c r="C101" s="6" t="s">
        <v>728</v>
      </c>
      <c r="D101" s="6" t="s">
        <v>729</v>
      </c>
      <c r="E101" s="6" t="s">
        <v>631</v>
      </c>
      <c r="F101" s="10">
        <v>3</v>
      </c>
      <c r="G101" s="5" t="s">
        <v>730</v>
      </c>
      <c r="H101" s="5" t="s">
        <v>120</v>
      </c>
      <c r="I101" s="5" t="s">
        <v>121</v>
      </c>
      <c r="J101" s="5" t="s">
        <v>95</v>
      </c>
      <c r="K101" s="8">
        <v>1</v>
      </c>
      <c r="L101" s="8">
        <v>1</v>
      </c>
      <c r="M101" s="8">
        <v>0</v>
      </c>
      <c r="N101" s="8">
        <v>3</v>
      </c>
      <c r="O101" s="8">
        <v>1</v>
      </c>
      <c r="P101" s="5" t="s">
        <v>95</v>
      </c>
      <c r="Q101" s="5" t="s">
        <v>95</v>
      </c>
      <c r="R101" s="5" t="s">
        <v>95</v>
      </c>
      <c r="S101" s="5" t="s">
        <v>327</v>
      </c>
      <c r="T101" s="8">
        <v>1</v>
      </c>
      <c r="U101" s="5"/>
      <c r="V101" s="5" t="s">
        <v>137</v>
      </c>
      <c r="W101" s="5" t="s">
        <v>124</v>
      </c>
      <c r="X101" s="5" t="s">
        <v>100</v>
      </c>
      <c r="Y101" s="5" t="s">
        <v>731</v>
      </c>
      <c r="Z101" s="5" t="s">
        <v>732</v>
      </c>
      <c r="AA101" s="6" t="s">
        <v>733</v>
      </c>
    </row>
    <row r="102" spans="1:27" ht="20" customHeight="1" x14ac:dyDescent="0.2">
      <c r="A102" s="4" t="s">
        <v>86</v>
      </c>
      <c r="B102" s="5" t="s">
        <v>87</v>
      </c>
      <c r="C102" s="6" t="s">
        <v>734</v>
      </c>
      <c r="D102" s="6" t="s">
        <v>735</v>
      </c>
      <c r="E102" s="6" t="s">
        <v>631</v>
      </c>
      <c r="F102" s="10">
        <v>3</v>
      </c>
      <c r="G102" s="5" t="s">
        <v>736</v>
      </c>
      <c r="H102" s="5" t="s">
        <v>120</v>
      </c>
      <c r="I102" s="5" t="s">
        <v>121</v>
      </c>
      <c r="J102" s="5" t="s">
        <v>95</v>
      </c>
      <c r="K102" s="8">
        <v>1</v>
      </c>
      <c r="L102" s="8">
        <v>1</v>
      </c>
      <c r="M102" s="8">
        <v>0</v>
      </c>
      <c r="N102" s="8">
        <v>3</v>
      </c>
      <c r="O102" s="8">
        <v>1</v>
      </c>
      <c r="P102" s="5" t="s">
        <v>95</v>
      </c>
      <c r="Q102" s="5" t="s">
        <v>95</v>
      </c>
      <c r="R102" s="5" t="s">
        <v>95</v>
      </c>
      <c r="S102" s="5" t="s">
        <v>172</v>
      </c>
      <c r="T102" s="8">
        <v>1</v>
      </c>
      <c r="U102" s="5"/>
      <c r="V102" s="5" t="s">
        <v>137</v>
      </c>
      <c r="W102" s="5" t="s">
        <v>124</v>
      </c>
      <c r="X102" s="5" t="s">
        <v>100</v>
      </c>
      <c r="Y102" s="5" t="s">
        <v>737</v>
      </c>
      <c r="Z102" s="5" t="s">
        <v>451</v>
      </c>
      <c r="AA102" s="6" t="s">
        <v>738</v>
      </c>
    </row>
    <row r="103" spans="1:27" ht="20" customHeight="1" x14ac:dyDescent="0.2">
      <c r="A103" s="4" t="s">
        <v>86</v>
      </c>
      <c r="B103" s="5" t="s">
        <v>87</v>
      </c>
      <c r="C103" s="6" t="s">
        <v>739</v>
      </c>
      <c r="D103" s="6" t="s">
        <v>740</v>
      </c>
      <c r="E103" s="6" t="s">
        <v>631</v>
      </c>
      <c r="F103" s="10">
        <v>3</v>
      </c>
      <c r="G103" s="5" t="s">
        <v>741</v>
      </c>
      <c r="H103" s="5" t="s">
        <v>120</v>
      </c>
      <c r="I103" s="5" t="s">
        <v>121</v>
      </c>
      <c r="J103" s="5" t="s">
        <v>95</v>
      </c>
      <c r="K103" s="8">
        <v>1</v>
      </c>
      <c r="L103" s="8">
        <v>1</v>
      </c>
      <c r="M103" s="8">
        <v>0</v>
      </c>
      <c r="N103" s="8">
        <v>3</v>
      </c>
      <c r="O103" s="8">
        <v>1</v>
      </c>
      <c r="P103" s="5" t="s">
        <v>95</v>
      </c>
      <c r="Q103" s="5" t="s">
        <v>95</v>
      </c>
      <c r="R103" s="5" t="s">
        <v>95</v>
      </c>
      <c r="S103" s="5" t="s">
        <v>122</v>
      </c>
      <c r="T103" s="8">
        <v>1</v>
      </c>
      <c r="U103" s="5"/>
      <c r="V103" s="5" t="s">
        <v>137</v>
      </c>
      <c r="W103" s="5" t="s">
        <v>124</v>
      </c>
      <c r="X103" s="5" t="s">
        <v>100</v>
      </c>
      <c r="Y103" s="5" t="s">
        <v>742</v>
      </c>
      <c r="Z103" s="5" t="s">
        <v>743</v>
      </c>
      <c r="AA103" s="6" t="s">
        <v>744</v>
      </c>
    </row>
    <row r="104" spans="1:27" ht="20" customHeight="1" x14ac:dyDescent="0.2">
      <c r="A104" s="4" t="s">
        <v>86</v>
      </c>
      <c r="B104" s="5" t="s">
        <v>87</v>
      </c>
      <c r="C104" s="6" t="s">
        <v>745</v>
      </c>
      <c r="D104" s="6" t="s">
        <v>746</v>
      </c>
      <c r="E104" s="6" t="s">
        <v>631</v>
      </c>
      <c r="F104" s="10">
        <v>3</v>
      </c>
      <c r="G104" s="5" t="s">
        <v>747</v>
      </c>
      <c r="H104" s="5" t="s">
        <v>120</v>
      </c>
      <c r="I104" s="5" t="s">
        <v>121</v>
      </c>
      <c r="J104" s="5" t="s">
        <v>95</v>
      </c>
      <c r="K104" s="8">
        <v>1</v>
      </c>
      <c r="L104" s="8">
        <v>1</v>
      </c>
      <c r="M104" s="8">
        <v>0</v>
      </c>
      <c r="N104" s="8">
        <v>3</v>
      </c>
      <c r="O104" s="8">
        <v>1</v>
      </c>
      <c r="P104" s="5" t="s">
        <v>95</v>
      </c>
      <c r="Q104" s="5" t="s">
        <v>95</v>
      </c>
      <c r="R104" s="5" t="s">
        <v>95</v>
      </c>
      <c r="S104" s="5" t="s">
        <v>172</v>
      </c>
      <c r="T104" s="8">
        <v>1</v>
      </c>
      <c r="U104" s="5"/>
      <c r="V104" s="5" t="s">
        <v>137</v>
      </c>
      <c r="W104" s="5" t="s">
        <v>124</v>
      </c>
      <c r="X104" s="5" t="s">
        <v>100</v>
      </c>
      <c r="Y104" s="5" t="s">
        <v>737</v>
      </c>
      <c r="Z104" s="5" t="s">
        <v>748</v>
      </c>
      <c r="AA104" s="6" t="s">
        <v>749</v>
      </c>
    </row>
    <row r="105" spans="1:27" ht="20" customHeight="1" x14ac:dyDescent="0.2">
      <c r="A105" s="4" t="s">
        <v>86</v>
      </c>
      <c r="B105" s="5" t="s">
        <v>87</v>
      </c>
      <c r="C105" s="6" t="s">
        <v>750</v>
      </c>
      <c r="D105" s="6" t="s">
        <v>751</v>
      </c>
      <c r="E105" s="6" t="s">
        <v>631</v>
      </c>
      <c r="F105" s="10">
        <v>3</v>
      </c>
      <c r="G105" s="5" t="s">
        <v>752</v>
      </c>
      <c r="H105" s="5" t="s">
        <v>120</v>
      </c>
      <c r="I105" s="5" t="s">
        <v>121</v>
      </c>
      <c r="J105" s="5" t="s">
        <v>95</v>
      </c>
      <c r="K105" s="8">
        <v>1</v>
      </c>
      <c r="L105" s="8">
        <v>1</v>
      </c>
      <c r="M105" s="8">
        <v>0</v>
      </c>
      <c r="N105" s="8">
        <v>3</v>
      </c>
      <c r="O105" s="8">
        <v>1</v>
      </c>
      <c r="P105" s="5" t="s">
        <v>95</v>
      </c>
      <c r="Q105" s="5" t="s">
        <v>95</v>
      </c>
      <c r="R105" s="5" t="s">
        <v>95</v>
      </c>
      <c r="S105" s="5" t="s">
        <v>122</v>
      </c>
      <c r="T105" s="8">
        <v>1</v>
      </c>
      <c r="U105" s="5"/>
      <c r="V105" s="5" t="s">
        <v>137</v>
      </c>
      <c r="W105" s="5" t="s">
        <v>124</v>
      </c>
      <c r="X105" s="5" t="s">
        <v>100</v>
      </c>
      <c r="Y105" s="5" t="s">
        <v>753</v>
      </c>
      <c r="Z105" s="5" t="s">
        <v>754</v>
      </c>
      <c r="AA105" s="6" t="s">
        <v>755</v>
      </c>
    </row>
    <row r="106" spans="1:27" ht="20" customHeight="1" x14ac:dyDescent="0.2">
      <c r="A106" s="4" t="s">
        <v>86</v>
      </c>
      <c r="B106" s="5" t="s">
        <v>87</v>
      </c>
      <c r="C106" s="6" t="s">
        <v>756</v>
      </c>
      <c r="D106" s="6" t="s">
        <v>757</v>
      </c>
      <c r="E106" s="6" t="s">
        <v>631</v>
      </c>
      <c r="F106" s="10">
        <v>3</v>
      </c>
      <c r="G106" s="5" t="s">
        <v>706</v>
      </c>
      <c r="H106" s="5" t="s">
        <v>92</v>
      </c>
      <c r="I106" s="5" t="s">
        <v>121</v>
      </c>
      <c r="J106" s="5" t="s">
        <v>95</v>
      </c>
      <c r="K106" s="8">
        <v>1</v>
      </c>
      <c r="L106" s="8">
        <v>1</v>
      </c>
      <c r="M106" s="8">
        <v>0</v>
      </c>
      <c r="N106" s="8">
        <v>3</v>
      </c>
      <c r="O106" s="8">
        <v>1</v>
      </c>
      <c r="P106" s="5" t="s">
        <v>94</v>
      </c>
      <c r="Q106" s="5" t="s">
        <v>95</v>
      </c>
      <c r="R106" s="5" t="s">
        <v>95</v>
      </c>
      <c r="S106" s="5" t="s">
        <v>122</v>
      </c>
      <c r="T106" s="8">
        <v>1</v>
      </c>
      <c r="U106" s="5"/>
      <c r="V106" s="5" t="s">
        <v>137</v>
      </c>
      <c r="W106" s="5" t="s">
        <v>124</v>
      </c>
      <c r="X106" s="5" t="s">
        <v>100</v>
      </c>
      <c r="Y106" s="5" t="s">
        <v>758</v>
      </c>
      <c r="Z106" s="5" t="s">
        <v>759</v>
      </c>
      <c r="AA106" s="6" t="s">
        <v>760</v>
      </c>
    </row>
    <row r="107" spans="1:27" ht="20" customHeight="1" x14ac:dyDescent="0.2">
      <c r="A107" s="4" t="s">
        <v>86</v>
      </c>
      <c r="B107" s="5" t="s">
        <v>87</v>
      </c>
      <c r="C107" s="6" t="s">
        <v>761</v>
      </c>
      <c r="D107" s="6" t="s">
        <v>762</v>
      </c>
      <c r="E107" s="6" t="s">
        <v>631</v>
      </c>
      <c r="F107" s="10">
        <v>3</v>
      </c>
      <c r="G107" s="5" t="s">
        <v>763</v>
      </c>
      <c r="H107" s="5" t="s">
        <v>120</v>
      </c>
      <c r="I107" s="5" t="s">
        <v>121</v>
      </c>
      <c r="J107" s="5" t="s">
        <v>95</v>
      </c>
      <c r="K107" s="8">
        <v>1</v>
      </c>
      <c r="L107" s="8">
        <v>1</v>
      </c>
      <c r="M107" s="8">
        <v>0</v>
      </c>
      <c r="N107" s="8">
        <v>3</v>
      </c>
      <c r="O107" s="8">
        <v>1</v>
      </c>
      <c r="P107" s="5" t="s">
        <v>95</v>
      </c>
      <c r="Q107" s="5" t="s">
        <v>95</v>
      </c>
      <c r="R107" s="5" t="s">
        <v>95</v>
      </c>
      <c r="S107" s="5" t="s">
        <v>172</v>
      </c>
      <c r="T107" s="8">
        <v>1</v>
      </c>
      <c r="U107" s="5"/>
      <c r="V107" s="5" t="s">
        <v>137</v>
      </c>
      <c r="W107" s="5" t="s">
        <v>124</v>
      </c>
      <c r="X107" s="5" t="s">
        <v>100</v>
      </c>
      <c r="Y107" s="5" t="s">
        <v>764</v>
      </c>
      <c r="Z107" s="5" t="s">
        <v>765</v>
      </c>
      <c r="AA107" s="6" t="s">
        <v>766</v>
      </c>
    </row>
    <row r="108" spans="1:27" ht="20" customHeight="1" x14ac:dyDescent="0.2">
      <c r="A108" s="4" t="s">
        <v>86</v>
      </c>
      <c r="B108" s="5" t="s">
        <v>87</v>
      </c>
      <c r="C108" s="6" t="s">
        <v>767</v>
      </c>
      <c r="D108" s="6" t="s">
        <v>768</v>
      </c>
      <c r="E108" s="6" t="s">
        <v>631</v>
      </c>
      <c r="F108" s="10">
        <v>3</v>
      </c>
      <c r="G108" s="5" t="s">
        <v>719</v>
      </c>
      <c r="H108" s="5" t="s">
        <v>120</v>
      </c>
      <c r="I108" s="5" t="s">
        <v>121</v>
      </c>
      <c r="J108" s="5" t="s">
        <v>95</v>
      </c>
      <c r="K108" s="8">
        <v>1</v>
      </c>
      <c r="L108" s="8">
        <v>1</v>
      </c>
      <c r="M108" s="8">
        <v>0</v>
      </c>
      <c r="N108" s="8">
        <v>3</v>
      </c>
      <c r="O108" s="8">
        <v>1</v>
      </c>
      <c r="P108" s="5" t="s">
        <v>95</v>
      </c>
      <c r="Q108" s="5" t="s">
        <v>95</v>
      </c>
      <c r="R108" s="5" t="s">
        <v>95</v>
      </c>
      <c r="S108" s="5" t="s">
        <v>327</v>
      </c>
      <c r="T108" s="8">
        <v>1</v>
      </c>
      <c r="U108" s="5"/>
      <c r="V108" s="5" t="s">
        <v>137</v>
      </c>
      <c r="W108" s="5" t="s">
        <v>124</v>
      </c>
      <c r="X108" s="5" t="s">
        <v>100</v>
      </c>
      <c r="Y108" s="5" t="s">
        <v>769</v>
      </c>
      <c r="Z108" s="5" t="s">
        <v>329</v>
      </c>
      <c r="AA108" s="6" t="s">
        <v>770</v>
      </c>
    </row>
    <row r="109" spans="1:27" ht="20" customHeight="1" x14ac:dyDescent="0.2">
      <c r="A109" s="4" t="s">
        <v>86</v>
      </c>
      <c r="B109" s="5" t="s">
        <v>87</v>
      </c>
      <c r="C109" s="6" t="s">
        <v>771</v>
      </c>
      <c r="D109" s="6" t="s">
        <v>772</v>
      </c>
      <c r="E109" s="6" t="s">
        <v>631</v>
      </c>
      <c r="F109" s="10">
        <v>3</v>
      </c>
      <c r="G109" s="5" t="s">
        <v>719</v>
      </c>
      <c r="H109" s="5" t="s">
        <v>120</v>
      </c>
      <c r="I109" s="5" t="s">
        <v>121</v>
      </c>
      <c r="J109" s="5" t="s">
        <v>95</v>
      </c>
      <c r="K109" s="8">
        <v>1</v>
      </c>
      <c r="L109" s="8">
        <v>1</v>
      </c>
      <c r="M109" s="8">
        <v>0</v>
      </c>
      <c r="N109" s="8">
        <v>3</v>
      </c>
      <c r="O109" s="8">
        <v>1</v>
      </c>
      <c r="P109" s="5" t="s">
        <v>95</v>
      </c>
      <c r="Q109" s="5" t="s">
        <v>95</v>
      </c>
      <c r="R109" s="5" t="s">
        <v>95</v>
      </c>
      <c r="S109" s="5" t="s">
        <v>327</v>
      </c>
      <c r="T109" s="8">
        <v>1</v>
      </c>
      <c r="U109" s="5"/>
      <c r="V109" s="5" t="s">
        <v>137</v>
      </c>
      <c r="W109" s="5" t="s">
        <v>124</v>
      </c>
      <c r="X109" s="5" t="s">
        <v>100</v>
      </c>
      <c r="Y109" s="5" t="s">
        <v>773</v>
      </c>
      <c r="Z109" s="5" t="s">
        <v>774</v>
      </c>
      <c r="AA109" s="6" t="s">
        <v>775</v>
      </c>
    </row>
    <row r="110" spans="1:27" ht="20" customHeight="1" x14ac:dyDescent="0.2">
      <c r="A110" s="4" t="s">
        <v>86</v>
      </c>
      <c r="B110" s="5" t="s">
        <v>87</v>
      </c>
      <c r="C110" s="6" t="s">
        <v>776</v>
      </c>
      <c r="D110" s="6" t="s">
        <v>777</v>
      </c>
      <c r="E110" s="6" t="s">
        <v>631</v>
      </c>
      <c r="F110" s="10">
        <v>3</v>
      </c>
      <c r="G110" s="5" t="s">
        <v>778</v>
      </c>
      <c r="H110" s="5" t="s">
        <v>92</v>
      </c>
      <c r="I110" s="5" t="s">
        <v>121</v>
      </c>
      <c r="J110" s="5" t="s">
        <v>95</v>
      </c>
      <c r="K110" s="8">
        <v>1</v>
      </c>
      <c r="L110" s="8">
        <v>1</v>
      </c>
      <c r="M110" s="8">
        <v>0</v>
      </c>
      <c r="N110" s="8">
        <v>3</v>
      </c>
      <c r="O110" s="8">
        <v>1</v>
      </c>
      <c r="P110" s="5" t="s">
        <v>94</v>
      </c>
      <c r="Q110" s="5" t="s">
        <v>95</v>
      </c>
      <c r="R110" s="5" t="s">
        <v>95</v>
      </c>
      <c r="S110" s="5" t="s">
        <v>122</v>
      </c>
      <c r="T110" s="8">
        <v>1</v>
      </c>
      <c r="U110" s="5"/>
      <c r="V110" s="5" t="s">
        <v>137</v>
      </c>
      <c r="W110" s="5" t="s">
        <v>124</v>
      </c>
      <c r="X110" s="5" t="s">
        <v>100</v>
      </c>
      <c r="Y110" s="5" t="s">
        <v>779</v>
      </c>
      <c r="Z110" s="5" t="s">
        <v>780</v>
      </c>
      <c r="AA110" s="6" t="s">
        <v>781</v>
      </c>
    </row>
    <row r="111" spans="1:27" ht="20" customHeight="1" x14ac:dyDescent="0.2">
      <c r="A111" s="4" t="s">
        <v>86</v>
      </c>
      <c r="B111" s="5" t="s">
        <v>87</v>
      </c>
      <c r="C111" s="6" t="s">
        <v>782</v>
      </c>
      <c r="D111" s="6" t="s">
        <v>783</v>
      </c>
      <c r="E111" s="6" t="s">
        <v>631</v>
      </c>
      <c r="F111" s="10">
        <v>3</v>
      </c>
      <c r="G111" s="5" t="s">
        <v>784</v>
      </c>
      <c r="H111" s="5" t="s">
        <v>120</v>
      </c>
      <c r="I111" s="5" t="s">
        <v>121</v>
      </c>
      <c r="J111" s="5" t="s">
        <v>95</v>
      </c>
      <c r="K111" s="8">
        <v>1</v>
      </c>
      <c r="L111" s="8">
        <v>1</v>
      </c>
      <c r="M111" s="8">
        <v>0</v>
      </c>
      <c r="N111" s="8">
        <v>3</v>
      </c>
      <c r="O111" s="8">
        <v>1</v>
      </c>
      <c r="P111" s="5" t="s">
        <v>95</v>
      </c>
      <c r="Q111" s="5" t="s">
        <v>95</v>
      </c>
      <c r="R111" s="5" t="s">
        <v>95</v>
      </c>
      <c r="S111" s="5" t="s">
        <v>327</v>
      </c>
      <c r="T111" s="8">
        <v>1</v>
      </c>
      <c r="U111" s="5"/>
      <c r="V111" s="5" t="s">
        <v>785</v>
      </c>
      <c r="W111" s="5" t="s">
        <v>124</v>
      </c>
      <c r="X111" s="5" t="s">
        <v>100</v>
      </c>
      <c r="Y111" s="5" t="s">
        <v>769</v>
      </c>
      <c r="Z111" s="5" t="s">
        <v>329</v>
      </c>
      <c r="AA111" s="6" t="s">
        <v>786</v>
      </c>
    </row>
    <row r="112" spans="1:27" ht="20" customHeight="1" x14ac:dyDescent="0.2">
      <c r="A112" s="4" t="s">
        <v>86</v>
      </c>
      <c r="B112" s="5" t="s">
        <v>87</v>
      </c>
      <c r="C112" s="6" t="s">
        <v>787</v>
      </c>
      <c r="D112" s="6" t="s">
        <v>788</v>
      </c>
      <c r="E112" s="6" t="s">
        <v>631</v>
      </c>
      <c r="F112" s="10">
        <v>3</v>
      </c>
      <c r="G112" s="5" t="s">
        <v>789</v>
      </c>
      <c r="H112" s="5" t="s">
        <v>120</v>
      </c>
      <c r="I112" s="5" t="s">
        <v>121</v>
      </c>
      <c r="J112" s="5" t="s">
        <v>95</v>
      </c>
      <c r="K112" s="8">
        <v>1</v>
      </c>
      <c r="L112" s="8">
        <v>1</v>
      </c>
      <c r="M112" s="8">
        <v>0</v>
      </c>
      <c r="N112" s="8">
        <v>3</v>
      </c>
      <c r="O112" s="8">
        <v>1</v>
      </c>
      <c r="P112" s="5" t="s">
        <v>95</v>
      </c>
      <c r="Q112" s="5" t="s">
        <v>95</v>
      </c>
      <c r="R112" s="5" t="s">
        <v>95</v>
      </c>
      <c r="S112" s="5" t="s">
        <v>172</v>
      </c>
      <c r="T112" s="8">
        <v>1</v>
      </c>
      <c r="U112" s="5"/>
      <c r="V112" s="5" t="s">
        <v>137</v>
      </c>
      <c r="W112" s="5" t="s">
        <v>124</v>
      </c>
      <c r="X112" s="5" t="s">
        <v>100</v>
      </c>
      <c r="Y112" s="5" t="s">
        <v>737</v>
      </c>
      <c r="Z112" s="5" t="s">
        <v>790</v>
      </c>
      <c r="AA112" s="6" t="s">
        <v>791</v>
      </c>
    </row>
    <row r="113" spans="1:27" ht="20" customHeight="1" x14ac:dyDescent="0.2">
      <c r="A113" s="4" t="s">
        <v>86</v>
      </c>
      <c r="B113" s="5" t="s">
        <v>87</v>
      </c>
      <c r="C113" s="6" t="s">
        <v>792</v>
      </c>
      <c r="D113" s="6" t="s">
        <v>793</v>
      </c>
      <c r="E113" s="6" t="s">
        <v>631</v>
      </c>
      <c r="F113" s="10">
        <v>3</v>
      </c>
      <c r="G113" s="5" t="s">
        <v>706</v>
      </c>
      <c r="H113" s="5" t="s">
        <v>92</v>
      </c>
      <c r="I113" s="5" t="s">
        <v>121</v>
      </c>
      <c r="J113" s="5" t="s">
        <v>95</v>
      </c>
      <c r="K113" s="8">
        <v>1</v>
      </c>
      <c r="L113" s="8">
        <v>1</v>
      </c>
      <c r="M113" s="8">
        <v>0</v>
      </c>
      <c r="N113" s="8">
        <v>3</v>
      </c>
      <c r="O113" s="8">
        <v>1</v>
      </c>
      <c r="P113" s="5" t="s">
        <v>94</v>
      </c>
      <c r="Q113" s="5" t="s">
        <v>95</v>
      </c>
      <c r="R113" s="5" t="s">
        <v>95</v>
      </c>
      <c r="S113" s="5" t="s">
        <v>172</v>
      </c>
      <c r="T113" s="8">
        <v>1</v>
      </c>
      <c r="U113" s="5"/>
      <c r="V113" s="5" t="s">
        <v>137</v>
      </c>
      <c r="W113" s="5" t="s">
        <v>124</v>
      </c>
      <c r="X113" s="5" t="s">
        <v>100</v>
      </c>
      <c r="Y113" s="5" t="s">
        <v>794</v>
      </c>
      <c r="Z113" s="5" t="s">
        <v>795</v>
      </c>
      <c r="AA113" s="6" t="s">
        <v>796</v>
      </c>
    </row>
    <row r="114" spans="1:27" ht="20" customHeight="1" x14ac:dyDescent="0.2">
      <c r="A114" s="4" t="s">
        <v>86</v>
      </c>
      <c r="B114" s="5" t="s">
        <v>87</v>
      </c>
      <c r="C114" s="6" t="s">
        <v>797</v>
      </c>
      <c r="D114" s="6" t="s">
        <v>798</v>
      </c>
      <c r="E114" s="6" t="s">
        <v>631</v>
      </c>
      <c r="F114" s="10">
        <v>3</v>
      </c>
      <c r="G114" s="5" t="s">
        <v>799</v>
      </c>
      <c r="H114" s="5" t="s">
        <v>120</v>
      </c>
      <c r="I114" s="5" t="s">
        <v>121</v>
      </c>
      <c r="J114" s="5" t="s">
        <v>95</v>
      </c>
      <c r="K114" s="8">
        <v>1</v>
      </c>
      <c r="L114" s="8">
        <v>1</v>
      </c>
      <c r="M114" s="8">
        <v>0</v>
      </c>
      <c r="N114" s="8">
        <v>3</v>
      </c>
      <c r="O114" s="8">
        <v>1</v>
      </c>
      <c r="P114" s="5" t="s">
        <v>95</v>
      </c>
      <c r="Q114" s="5" t="s">
        <v>95</v>
      </c>
      <c r="R114" s="5" t="s">
        <v>95</v>
      </c>
      <c r="S114" s="5" t="s">
        <v>122</v>
      </c>
      <c r="T114" s="8">
        <v>1</v>
      </c>
      <c r="U114" s="5"/>
      <c r="V114" s="5" t="s">
        <v>137</v>
      </c>
      <c r="W114" s="5" t="s">
        <v>124</v>
      </c>
      <c r="X114" s="5" t="s">
        <v>100</v>
      </c>
      <c r="Y114" s="5" t="s">
        <v>800</v>
      </c>
      <c r="Z114" s="5" t="s">
        <v>801</v>
      </c>
      <c r="AA114" s="6" t="s">
        <v>802</v>
      </c>
    </row>
    <row r="115" spans="1:27" ht="20" customHeight="1" x14ac:dyDescent="0.2">
      <c r="A115" s="4" t="s">
        <v>86</v>
      </c>
      <c r="B115" s="5" t="s">
        <v>87</v>
      </c>
      <c r="C115" s="6" t="s">
        <v>803</v>
      </c>
      <c r="D115" s="6" t="s">
        <v>804</v>
      </c>
      <c r="E115" s="6" t="s">
        <v>631</v>
      </c>
      <c r="F115" s="10">
        <v>3</v>
      </c>
      <c r="G115" s="5" t="s">
        <v>805</v>
      </c>
      <c r="H115" s="5" t="s">
        <v>92</v>
      </c>
      <c r="I115" s="5" t="s">
        <v>121</v>
      </c>
      <c r="J115" s="5" t="s">
        <v>95</v>
      </c>
      <c r="K115" s="8">
        <v>1</v>
      </c>
      <c r="L115" s="8">
        <v>1</v>
      </c>
      <c r="M115" s="8">
        <v>0</v>
      </c>
      <c r="N115" s="8">
        <v>3</v>
      </c>
      <c r="O115" s="8">
        <v>1</v>
      </c>
      <c r="P115" s="5" t="s">
        <v>94</v>
      </c>
      <c r="Q115" s="5" t="s">
        <v>95</v>
      </c>
      <c r="R115" s="5" t="s">
        <v>95</v>
      </c>
      <c r="S115" s="5" t="s">
        <v>472</v>
      </c>
      <c r="T115" s="8">
        <v>1</v>
      </c>
      <c r="U115" s="5"/>
      <c r="V115" s="5" t="s">
        <v>137</v>
      </c>
      <c r="W115" s="5" t="s">
        <v>124</v>
      </c>
      <c r="X115" s="5" t="s">
        <v>100</v>
      </c>
      <c r="Y115" s="5" t="s">
        <v>701</v>
      </c>
      <c r="Z115" s="5" t="s">
        <v>806</v>
      </c>
      <c r="AA115" s="6" t="s">
        <v>807</v>
      </c>
    </row>
    <row r="116" spans="1:27" ht="20" customHeight="1" x14ac:dyDescent="0.2">
      <c r="A116" s="4" t="s">
        <v>86</v>
      </c>
      <c r="B116" s="5" t="s">
        <v>87</v>
      </c>
      <c r="C116" s="6" t="s">
        <v>808</v>
      </c>
      <c r="D116" s="6" t="s">
        <v>809</v>
      </c>
      <c r="E116" s="6" t="s">
        <v>631</v>
      </c>
      <c r="F116" s="10">
        <v>3</v>
      </c>
      <c r="G116" s="5" t="s">
        <v>810</v>
      </c>
      <c r="H116" s="5" t="s">
        <v>120</v>
      </c>
      <c r="I116" s="5" t="s">
        <v>121</v>
      </c>
      <c r="J116" s="5" t="s">
        <v>95</v>
      </c>
      <c r="K116" s="8">
        <v>1</v>
      </c>
      <c r="L116" s="8">
        <v>1</v>
      </c>
      <c r="M116" s="8">
        <v>0</v>
      </c>
      <c r="N116" s="8">
        <v>3</v>
      </c>
      <c r="O116" s="8">
        <v>1</v>
      </c>
      <c r="P116" s="5" t="s">
        <v>95</v>
      </c>
      <c r="Q116" s="5" t="s">
        <v>95</v>
      </c>
      <c r="R116" s="5" t="s">
        <v>95</v>
      </c>
      <c r="S116" s="5" t="s">
        <v>327</v>
      </c>
      <c r="T116" s="8">
        <v>1</v>
      </c>
      <c r="U116" s="5"/>
      <c r="V116" s="5" t="s">
        <v>137</v>
      </c>
      <c r="W116" s="5" t="s">
        <v>124</v>
      </c>
      <c r="X116" s="5" t="s">
        <v>100</v>
      </c>
      <c r="Y116" s="5" t="s">
        <v>769</v>
      </c>
      <c r="Z116" s="5" t="s">
        <v>329</v>
      </c>
      <c r="AA116" s="6" t="s">
        <v>811</v>
      </c>
    </row>
    <row r="117" spans="1:27" ht="20" customHeight="1" x14ac:dyDescent="0.2">
      <c r="A117" s="4" t="s">
        <v>86</v>
      </c>
      <c r="B117" s="5" t="s">
        <v>87</v>
      </c>
      <c r="C117" s="6" t="s">
        <v>812</v>
      </c>
      <c r="D117" s="6" t="s">
        <v>813</v>
      </c>
      <c r="E117" s="6" t="s">
        <v>631</v>
      </c>
      <c r="F117" s="10">
        <v>3</v>
      </c>
      <c r="G117" s="5" t="s">
        <v>741</v>
      </c>
      <c r="H117" s="5" t="s">
        <v>120</v>
      </c>
      <c r="I117" s="5" t="s">
        <v>121</v>
      </c>
      <c r="J117" s="5" t="s">
        <v>95</v>
      </c>
      <c r="K117" s="8">
        <v>1</v>
      </c>
      <c r="L117" s="8">
        <v>1</v>
      </c>
      <c r="M117" s="8">
        <v>0</v>
      </c>
      <c r="N117" s="8">
        <v>3</v>
      </c>
      <c r="O117" s="8">
        <v>1</v>
      </c>
      <c r="P117" s="5" t="s">
        <v>95</v>
      </c>
      <c r="Q117" s="5" t="s">
        <v>95</v>
      </c>
      <c r="R117" s="5" t="s">
        <v>95</v>
      </c>
      <c r="S117" s="5" t="s">
        <v>122</v>
      </c>
      <c r="T117" s="8">
        <v>1</v>
      </c>
      <c r="U117" s="5"/>
      <c r="V117" s="5" t="s">
        <v>137</v>
      </c>
      <c r="W117" s="5" t="s">
        <v>124</v>
      </c>
      <c r="X117" s="5" t="s">
        <v>100</v>
      </c>
      <c r="Y117" s="5" t="s">
        <v>814</v>
      </c>
      <c r="Z117" s="5" t="s">
        <v>815</v>
      </c>
      <c r="AA117" s="6" t="s">
        <v>816</v>
      </c>
    </row>
    <row r="118" spans="1:27" ht="20" customHeight="1" x14ac:dyDescent="0.2">
      <c r="A118" s="4" t="s">
        <v>86</v>
      </c>
      <c r="B118" s="5" t="s">
        <v>87</v>
      </c>
      <c r="C118" s="6" t="s">
        <v>817</v>
      </c>
      <c r="D118" s="6" t="s">
        <v>818</v>
      </c>
      <c r="E118" s="6" t="s">
        <v>631</v>
      </c>
      <c r="F118" s="10">
        <v>3</v>
      </c>
      <c r="G118" s="5" t="s">
        <v>819</v>
      </c>
      <c r="H118" s="5" t="s">
        <v>120</v>
      </c>
      <c r="I118" s="5" t="s">
        <v>121</v>
      </c>
      <c r="J118" s="5" t="s">
        <v>95</v>
      </c>
      <c r="K118" s="8">
        <v>1</v>
      </c>
      <c r="L118" s="8">
        <v>1</v>
      </c>
      <c r="M118" s="8">
        <v>0</v>
      </c>
      <c r="N118" s="8">
        <v>3</v>
      </c>
      <c r="O118" s="8">
        <v>1</v>
      </c>
      <c r="P118" s="5" t="s">
        <v>95</v>
      </c>
      <c r="Q118" s="5" t="s">
        <v>95</v>
      </c>
      <c r="R118" s="5" t="s">
        <v>95</v>
      </c>
      <c r="S118" s="5" t="s">
        <v>172</v>
      </c>
      <c r="T118" s="8">
        <v>1</v>
      </c>
      <c r="U118" s="5"/>
      <c r="V118" s="5" t="s">
        <v>137</v>
      </c>
      <c r="W118" s="5" t="s">
        <v>124</v>
      </c>
      <c r="X118" s="5" t="s">
        <v>100</v>
      </c>
      <c r="Y118" s="5" t="s">
        <v>737</v>
      </c>
      <c r="Z118" s="5" t="s">
        <v>451</v>
      </c>
      <c r="AA118" s="6" t="s">
        <v>820</v>
      </c>
    </row>
    <row r="119" spans="1:27" ht="20" customHeight="1" x14ac:dyDescent="0.2">
      <c r="A119" s="4" t="s">
        <v>86</v>
      </c>
      <c r="B119" s="5" t="s">
        <v>87</v>
      </c>
      <c r="C119" s="6" t="s">
        <v>821</v>
      </c>
      <c r="D119" s="6" t="s">
        <v>822</v>
      </c>
      <c r="E119" s="6" t="s">
        <v>631</v>
      </c>
      <c r="F119" s="10">
        <v>3</v>
      </c>
      <c r="G119" s="5" t="s">
        <v>823</v>
      </c>
      <c r="H119" s="5" t="s">
        <v>92</v>
      </c>
      <c r="I119" s="5" t="s">
        <v>121</v>
      </c>
      <c r="J119" s="5" t="s">
        <v>95</v>
      </c>
      <c r="K119" s="8">
        <v>1</v>
      </c>
      <c r="L119" s="8">
        <v>1</v>
      </c>
      <c r="M119" s="8">
        <v>0</v>
      </c>
      <c r="N119" s="8">
        <v>3</v>
      </c>
      <c r="O119" s="8">
        <v>1</v>
      </c>
      <c r="P119" s="5" t="s">
        <v>94</v>
      </c>
      <c r="Q119" s="5" t="s">
        <v>95</v>
      </c>
      <c r="R119" s="5" t="s">
        <v>95</v>
      </c>
      <c r="S119" s="5" t="s">
        <v>122</v>
      </c>
      <c r="T119" s="8">
        <v>1</v>
      </c>
      <c r="U119" s="5"/>
      <c r="V119" s="5" t="s">
        <v>137</v>
      </c>
      <c r="W119" s="5" t="s">
        <v>124</v>
      </c>
      <c r="X119" s="5" t="s">
        <v>100</v>
      </c>
      <c r="Y119" s="5" t="s">
        <v>824</v>
      </c>
      <c r="Z119" s="5" t="s">
        <v>825</v>
      </c>
      <c r="AA119" s="6" t="s">
        <v>826</v>
      </c>
    </row>
    <row r="120" spans="1:27" ht="20" customHeight="1" x14ac:dyDescent="0.2">
      <c r="A120" s="4" t="s">
        <v>86</v>
      </c>
      <c r="B120" s="5" t="s">
        <v>87</v>
      </c>
      <c r="C120" s="6" t="s">
        <v>827</v>
      </c>
      <c r="D120" s="6" t="s">
        <v>828</v>
      </c>
      <c r="E120" s="6" t="s">
        <v>829</v>
      </c>
      <c r="F120" s="7">
        <v>1</v>
      </c>
      <c r="G120" s="5" t="s">
        <v>830</v>
      </c>
      <c r="H120" s="5" t="s">
        <v>120</v>
      </c>
      <c r="I120" s="5" t="s">
        <v>204</v>
      </c>
      <c r="J120" s="5" t="s">
        <v>95</v>
      </c>
      <c r="K120" s="8">
        <v>5</v>
      </c>
      <c r="L120" s="8">
        <v>5</v>
      </c>
      <c r="M120" s="8">
        <v>4</v>
      </c>
      <c r="N120" s="8">
        <v>7</v>
      </c>
      <c r="O120" s="8">
        <v>3</v>
      </c>
      <c r="P120" s="5" t="s">
        <v>95</v>
      </c>
      <c r="Q120" s="5" t="s">
        <v>95</v>
      </c>
      <c r="R120" s="5" t="s">
        <v>95</v>
      </c>
      <c r="S120" s="5" t="s">
        <v>96</v>
      </c>
      <c r="T120" s="8">
        <v>1</v>
      </c>
      <c r="U120" s="5" t="s">
        <v>831</v>
      </c>
      <c r="V120" s="5" t="s">
        <v>832</v>
      </c>
      <c r="W120" s="5" t="s">
        <v>833</v>
      </c>
      <c r="X120" s="5" t="s">
        <v>100</v>
      </c>
      <c r="Y120" s="5" t="s">
        <v>834</v>
      </c>
      <c r="Z120" s="5" t="s">
        <v>835</v>
      </c>
      <c r="AA120" s="6" t="s">
        <v>836</v>
      </c>
    </row>
    <row r="121" spans="1:27" ht="20" customHeight="1" x14ac:dyDescent="0.2">
      <c r="A121" s="4" t="s">
        <v>86</v>
      </c>
      <c r="B121" s="5" t="s">
        <v>87</v>
      </c>
      <c r="C121" s="6" t="s">
        <v>837</v>
      </c>
      <c r="D121" s="6" t="s">
        <v>838</v>
      </c>
      <c r="E121" s="6" t="s">
        <v>829</v>
      </c>
      <c r="F121" s="9">
        <v>2</v>
      </c>
      <c r="G121" s="5" t="s">
        <v>839</v>
      </c>
      <c r="H121" s="5" t="s">
        <v>120</v>
      </c>
      <c r="I121" s="5" t="s">
        <v>121</v>
      </c>
      <c r="J121" s="5" t="s">
        <v>95</v>
      </c>
      <c r="K121" s="8">
        <v>3</v>
      </c>
      <c r="L121" s="8">
        <v>3</v>
      </c>
      <c r="M121" s="8">
        <v>2</v>
      </c>
      <c r="N121" s="8">
        <v>5</v>
      </c>
      <c r="O121" s="8">
        <v>2</v>
      </c>
      <c r="P121" s="5" t="s">
        <v>95</v>
      </c>
      <c r="Q121" s="5" t="s">
        <v>95</v>
      </c>
      <c r="R121" s="5" t="s">
        <v>95</v>
      </c>
      <c r="S121" s="5" t="s">
        <v>232</v>
      </c>
      <c r="T121" s="8">
        <v>1</v>
      </c>
      <c r="U121" s="5"/>
      <c r="V121" s="5" t="s">
        <v>840</v>
      </c>
      <c r="W121" s="5" t="s">
        <v>124</v>
      </c>
      <c r="X121" s="5" t="s">
        <v>100</v>
      </c>
      <c r="Y121" s="5" t="s">
        <v>841</v>
      </c>
      <c r="Z121" s="5" t="s">
        <v>653</v>
      </c>
      <c r="AA121" s="6" t="s">
        <v>842</v>
      </c>
    </row>
    <row r="122" spans="1:27" ht="20" customHeight="1" x14ac:dyDescent="0.2">
      <c r="A122" s="4" t="s">
        <v>86</v>
      </c>
      <c r="B122" s="5" t="s">
        <v>87</v>
      </c>
      <c r="C122" s="6" t="s">
        <v>843</v>
      </c>
      <c r="D122" s="6" t="s">
        <v>844</v>
      </c>
      <c r="E122" s="6" t="s">
        <v>829</v>
      </c>
      <c r="F122" s="9">
        <v>2</v>
      </c>
      <c r="G122" s="5" t="s">
        <v>845</v>
      </c>
      <c r="H122" s="5" t="s">
        <v>92</v>
      </c>
      <c r="I122" s="5" t="s">
        <v>121</v>
      </c>
      <c r="J122" s="5" t="s">
        <v>95</v>
      </c>
      <c r="K122" s="8">
        <v>3</v>
      </c>
      <c r="L122" s="8">
        <v>3</v>
      </c>
      <c r="M122" s="8">
        <v>2</v>
      </c>
      <c r="N122" s="8">
        <v>5</v>
      </c>
      <c r="O122" s="8">
        <v>2</v>
      </c>
      <c r="P122" s="5" t="s">
        <v>94</v>
      </c>
      <c r="Q122" s="5" t="s">
        <v>95</v>
      </c>
      <c r="R122" s="5" t="s">
        <v>95</v>
      </c>
      <c r="S122" s="5" t="s">
        <v>96</v>
      </c>
      <c r="T122" s="8">
        <v>1</v>
      </c>
      <c r="U122" s="5"/>
      <c r="V122" s="5" t="s">
        <v>846</v>
      </c>
      <c r="W122" s="5" t="s">
        <v>847</v>
      </c>
      <c r="X122" s="5" t="s">
        <v>100</v>
      </c>
      <c r="Y122" s="5" t="s">
        <v>848</v>
      </c>
      <c r="Z122" s="5" t="s">
        <v>490</v>
      </c>
      <c r="AA122" s="6" t="s">
        <v>849</v>
      </c>
    </row>
    <row r="123" spans="1:27" ht="20" customHeight="1" x14ac:dyDescent="0.2">
      <c r="A123" s="4" t="s">
        <v>86</v>
      </c>
      <c r="B123" s="5" t="s">
        <v>87</v>
      </c>
      <c r="C123" s="6" t="s">
        <v>850</v>
      </c>
      <c r="D123" s="6" t="s">
        <v>851</v>
      </c>
      <c r="E123" s="6" t="s">
        <v>829</v>
      </c>
      <c r="F123" s="9">
        <v>2</v>
      </c>
      <c r="G123" s="5" t="s">
        <v>852</v>
      </c>
      <c r="H123" s="5" t="s">
        <v>92</v>
      </c>
      <c r="I123" s="5" t="s">
        <v>121</v>
      </c>
      <c r="J123" s="5" t="s">
        <v>95</v>
      </c>
      <c r="K123" s="8">
        <v>3</v>
      </c>
      <c r="L123" s="8">
        <v>3</v>
      </c>
      <c r="M123" s="8">
        <v>2</v>
      </c>
      <c r="N123" s="8">
        <v>5</v>
      </c>
      <c r="O123" s="8">
        <v>2</v>
      </c>
      <c r="P123" s="5" t="s">
        <v>94</v>
      </c>
      <c r="Q123" s="5" t="s">
        <v>95</v>
      </c>
      <c r="R123" s="5" t="s">
        <v>95</v>
      </c>
      <c r="S123" s="5" t="s">
        <v>109</v>
      </c>
      <c r="T123" s="8">
        <v>1</v>
      </c>
      <c r="U123" s="5"/>
      <c r="V123" s="5" t="s">
        <v>853</v>
      </c>
      <c r="W123" s="5" t="s">
        <v>854</v>
      </c>
      <c r="X123" s="5" t="s">
        <v>100</v>
      </c>
      <c r="Y123" s="5" t="s">
        <v>855</v>
      </c>
      <c r="Z123" s="5" t="s">
        <v>276</v>
      </c>
      <c r="AA123" s="6" t="s">
        <v>856</v>
      </c>
    </row>
    <row r="124" spans="1:27" ht="20" customHeight="1" x14ac:dyDescent="0.2">
      <c r="A124" s="4" t="s">
        <v>86</v>
      </c>
      <c r="B124" s="5" t="s">
        <v>87</v>
      </c>
      <c r="C124" s="6" t="s">
        <v>857</v>
      </c>
      <c r="D124" s="6" t="s">
        <v>858</v>
      </c>
      <c r="E124" s="6" t="s">
        <v>829</v>
      </c>
      <c r="F124" s="9">
        <v>2</v>
      </c>
      <c r="G124" s="5" t="s">
        <v>859</v>
      </c>
      <c r="H124" s="5" t="s">
        <v>120</v>
      </c>
      <c r="I124" s="5" t="s">
        <v>121</v>
      </c>
      <c r="J124" s="5" t="s">
        <v>95</v>
      </c>
      <c r="K124" s="8">
        <v>3</v>
      </c>
      <c r="L124" s="8">
        <v>3</v>
      </c>
      <c r="M124" s="8">
        <v>2</v>
      </c>
      <c r="N124" s="8">
        <v>5</v>
      </c>
      <c r="O124" s="8">
        <v>2</v>
      </c>
      <c r="P124" s="5" t="s">
        <v>95</v>
      </c>
      <c r="Q124" s="5" t="s">
        <v>95</v>
      </c>
      <c r="R124" s="5" t="s">
        <v>95</v>
      </c>
      <c r="S124" s="5" t="s">
        <v>232</v>
      </c>
      <c r="T124" s="8">
        <v>1</v>
      </c>
      <c r="U124" s="5"/>
      <c r="V124" s="5" t="s">
        <v>137</v>
      </c>
      <c r="W124" s="5" t="s">
        <v>124</v>
      </c>
      <c r="X124" s="5" t="s">
        <v>100</v>
      </c>
      <c r="Y124" s="5" t="s">
        <v>860</v>
      </c>
      <c r="Z124" s="5" t="s">
        <v>861</v>
      </c>
      <c r="AA124" s="6" t="s">
        <v>862</v>
      </c>
    </row>
    <row r="125" spans="1:27" ht="20" customHeight="1" x14ac:dyDescent="0.2">
      <c r="A125" s="4" t="s">
        <v>86</v>
      </c>
      <c r="B125" s="5" t="s">
        <v>87</v>
      </c>
      <c r="C125" s="6" t="s">
        <v>863</v>
      </c>
      <c r="D125" s="6" t="s">
        <v>864</v>
      </c>
      <c r="E125" s="6" t="s">
        <v>829</v>
      </c>
      <c r="F125" s="10">
        <v>3</v>
      </c>
      <c r="G125" s="5" t="s">
        <v>865</v>
      </c>
      <c r="H125" s="5" t="s">
        <v>120</v>
      </c>
      <c r="I125" s="5" t="s">
        <v>121</v>
      </c>
      <c r="J125" s="5" t="s">
        <v>95</v>
      </c>
      <c r="K125" s="8">
        <v>1</v>
      </c>
      <c r="L125" s="8">
        <v>1</v>
      </c>
      <c r="M125" s="8">
        <v>0</v>
      </c>
      <c r="N125" s="8">
        <v>3</v>
      </c>
      <c r="O125" s="8">
        <v>1</v>
      </c>
      <c r="P125" s="5" t="s">
        <v>95</v>
      </c>
      <c r="Q125" s="5" t="s">
        <v>95</v>
      </c>
      <c r="R125" s="5" t="s">
        <v>95</v>
      </c>
      <c r="S125" s="5" t="s">
        <v>232</v>
      </c>
      <c r="T125" s="8">
        <v>1</v>
      </c>
      <c r="U125" s="5"/>
      <c r="V125" s="5" t="s">
        <v>137</v>
      </c>
      <c r="W125" s="5" t="s">
        <v>124</v>
      </c>
      <c r="X125" s="5" t="s">
        <v>100</v>
      </c>
      <c r="Y125" s="5" t="s">
        <v>860</v>
      </c>
      <c r="Z125" s="5" t="s">
        <v>364</v>
      </c>
      <c r="AA125" s="6" t="s">
        <v>866</v>
      </c>
    </row>
    <row r="126" spans="1:27" ht="20" customHeight="1" x14ac:dyDescent="0.2">
      <c r="A126" s="4" t="s">
        <v>86</v>
      </c>
      <c r="B126" s="5" t="s">
        <v>87</v>
      </c>
      <c r="C126" s="6" t="s">
        <v>867</v>
      </c>
      <c r="D126" s="6" t="s">
        <v>868</v>
      </c>
      <c r="E126" s="6" t="s">
        <v>829</v>
      </c>
      <c r="F126" s="10">
        <v>3</v>
      </c>
      <c r="G126" s="5" t="s">
        <v>869</v>
      </c>
      <c r="H126" s="5" t="s">
        <v>92</v>
      </c>
      <c r="I126" s="5" t="s">
        <v>121</v>
      </c>
      <c r="J126" s="5" t="s">
        <v>95</v>
      </c>
      <c r="K126" s="8">
        <v>1</v>
      </c>
      <c r="L126" s="8">
        <v>1</v>
      </c>
      <c r="M126" s="8">
        <v>0</v>
      </c>
      <c r="N126" s="8">
        <v>3</v>
      </c>
      <c r="O126" s="8">
        <v>1</v>
      </c>
      <c r="P126" s="5" t="s">
        <v>94</v>
      </c>
      <c r="Q126" s="5" t="s">
        <v>95</v>
      </c>
      <c r="R126" s="5" t="s">
        <v>95</v>
      </c>
      <c r="S126" s="5" t="s">
        <v>96</v>
      </c>
      <c r="T126" s="8">
        <v>1</v>
      </c>
      <c r="U126" s="5"/>
      <c r="V126" s="5" t="s">
        <v>137</v>
      </c>
      <c r="W126" s="5" t="s">
        <v>124</v>
      </c>
      <c r="X126" s="5" t="s">
        <v>100</v>
      </c>
      <c r="Y126" s="5" t="s">
        <v>848</v>
      </c>
      <c r="Z126" s="5" t="s">
        <v>490</v>
      </c>
      <c r="AA126" s="6" t="s">
        <v>870</v>
      </c>
    </row>
    <row r="127" spans="1:27" ht="20" customHeight="1" x14ac:dyDescent="0.2">
      <c r="A127" s="4" t="s">
        <v>86</v>
      </c>
      <c r="B127" s="5" t="s">
        <v>87</v>
      </c>
      <c r="C127" s="6" t="s">
        <v>871</v>
      </c>
      <c r="D127" s="6" t="s">
        <v>872</v>
      </c>
      <c r="E127" s="6" t="s">
        <v>829</v>
      </c>
      <c r="F127" s="10">
        <v>3</v>
      </c>
      <c r="G127" s="5" t="s">
        <v>873</v>
      </c>
      <c r="H127" s="5" t="s">
        <v>120</v>
      </c>
      <c r="I127" s="5" t="s">
        <v>121</v>
      </c>
      <c r="J127" s="5" t="s">
        <v>95</v>
      </c>
      <c r="K127" s="8">
        <v>1</v>
      </c>
      <c r="L127" s="8">
        <v>1</v>
      </c>
      <c r="M127" s="8">
        <v>0</v>
      </c>
      <c r="N127" s="8">
        <v>3</v>
      </c>
      <c r="O127" s="8">
        <v>1</v>
      </c>
      <c r="P127" s="5" t="s">
        <v>95</v>
      </c>
      <c r="Q127" s="5" t="s">
        <v>95</v>
      </c>
      <c r="R127" s="5" t="s">
        <v>95</v>
      </c>
      <c r="S127" s="5" t="s">
        <v>232</v>
      </c>
      <c r="T127" s="8">
        <v>1</v>
      </c>
      <c r="U127" s="5"/>
      <c r="V127" s="5" t="s">
        <v>137</v>
      </c>
      <c r="W127" s="5" t="s">
        <v>124</v>
      </c>
      <c r="X127" s="5" t="s">
        <v>100</v>
      </c>
      <c r="Y127" s="5" t="s">
        <v>860</v>
      </c>
      <c r="Z127" s="5" t="s">
        <v>364</v>
      </c>
      <c r="AA127" s="6" t="s">
        <v>874</v>
      </c>
    </row>
    <row r="128" spans="1:27" ht="20" customHeight="1" x14ac:dyDescent="0.2">
      <c r="A128" s="4" t="s">
        <v>86</v>
      </c>
      <c r="B128" s="5" t="s">
        <v>87</v>
      </c>
      <c r="C128" s="6" t="s">
        <v>875</v>
      </c>
      <c r="D128" s="6" t="s">
        <v>876</v>
      </c>
      <c r="E128" s="6" t="s">
        <v>829</v>
      </c>
      <c r="F128" s="10">
        <v>3</v>
      </c>
      <c r="G128" s="5" t="s">
        <v>865</v>
      </c>
      <c r="H128" s="5" t="s">
        <v>120</v>
      </c>
      <c r="I128" s="5" t="s">
        <v>121</v>
      </c>
      <c r="J128" s="5" t="s">
        <v>95</v>
      </c>
      <c r="K128" s="8">
        <v>1</v>
      </c>
      <c r="L128" s="8">
        <v>1</v>
      </c>
      <c r="M128" s="8">
        <v>0</v>
      </c>
      <c r="N128" s="8">
        <v>3</v>
      </c>
      <c r="O128" s="8">
        <v>1</v>
      </c>
      <c r="P128" s="5" t="s">
        <v>95</v>
      </c>
      <c r="Q128" s="5" t="s">
        <v>95</v>
      </c>
      <c r="R128" s="5" t="s">
        <v>95</v>
      </c>
      <c r="S128" s="5" t="s">
        <v>172</v>
      </c>
      <c r="T128" s="8">
        <v>1</v>
      </c>
      <c r="U128" s="5"/>
      <c r="V128" s="5" t="s">
        <v>137</v>
      </c>
      <c r="W128" s="5" t="s">
        <v>124</v>
      </c>
      <c r="X128" s="5" t="s">
        <v>100</v>
      </c>
      <c r="Y128" s="5" t="s">
        <v>877</v>
      </c>
      <c r="Z128" s="5" t="s">
        <v>451</v>
      </c>
      <c r="AA128" s="6" t="s">
        <v>878</v>
      </c>
    </row>
    <row r="129" spans="1:27" ht="20" customHeight="1" x14ac:dyDescent="0.2">
      <c r="A129" s="4" t="s">
        <v>86</v>
      </c>
      <c r="B129" s="5" t="s">
        <v>87</v>
      </c>
      <c r="C129" s="6" t="s">
        <v>879</v>
      </c>
      <c r="D129" s="6" t="s">
        <v>880</v>
      </c>
      <c r="E129" s="6" t="s">
        <v>829</v>
      </c>
      <c r="F129" s="10">
        <v>3</v>
      </c>
      <c r="G129" s="5" t="s">
        <v>881</v>
      </c>
      <c r="H129" s="5" t="s">
        <v>92</v>
      </c>
      <c r="I129" s="5" t="s">
        <v>121</v>
      </c>
      <c r="J129" s="5" t="s">
        <v>95</v>
      </c>
      <c r="K129" s="8">
        <v>1</v>
      </c>
      <c r="L129" s="8">
        <v>1</v>
      </c>
      <c r="M129" s="8">
        <v>0</v>
      </c>
      <c r="N129" s="8">
        <v>3</v>
      </c>
      <c r="O129" s="8">
        <v>1</v>
      </c>
      <c r="P129" s="5" t="s">
        <v>94</v>
      </c>
      <c r="Q129" s="5" t="s">
        <v>95</v>
      </c>
      <c r="R129" s="5" t="s">
        <v>95</v>
      </c>
      <c r="S129" s="5" t="s">
        <v>96</v>
      </c>
      <c r="T129" s="8">
        <v>1</v>
      </c>
      <c r="U129" s="5"/>
      <c r="V129" s="5" t="s">
        <v>882</v>
      </c>
      <c r="W129" s="5" t="s">
        <v>883</v>
      </c>
      <c r="X129" s="5" t="s">
        <v>100</v>
      </c>
      <c r="Y129" s="5" t="s">
        <v>848</v>
      </c>
      <c r="Z129" s="5" t="s">
        <v>490</v>
      </c>
      <c r="AA129" s="6" t="s">
        <v>884</v>
      </c>
    </row>
    <row r="130" spans="1:27" ht="20" customHeight="1" x14ac:dyDescent="0.2">
      <c r="A130" s="4" t="s">
        <v>86</v>
      </c>
      <c r="B130" s="5" t="s">
        <v>87</v>
      </c>
      <c r="C130" s="6" t="s">
        <v>885</v>
      </c>
      <c r="D130" s="6" t="s">
        <v>886</v>
      </c>
      <c r="E130" s="6" t="s">
        <v>829</v>
      </c>
      <c r="F130" s="10">
        <v>3</v>
      </c>
      <c r="G130" s="5" t="s">
        <v>887</v>
      </c>
      <c r="H130" s="5" t="s">
        <v>120</v>
      </c>
      <c r="I130" s="5" t="s">
        <v>121</v>
      </c>
      <c r="J130" s="5" t="s">
        <v>95</v>
      </c>
      <c r="K130" s="8">
        <v>1</v>
      </c>
      <c r="L130" s="8">
        <v>1</v>
      </c>
      <c r="M130" s="8">
        <v>0</v>
      </c>
      <c r="N130" s="8">
        <v>3</v>
      </c>
      <c r="O130" s="8">
        <v>1</v>
      </c>
      <c r="P130" s="5" t="s">
        <v>95</v>
      </c>
      <c r="Q130" s="5" t="s">
        <v>95</v>
      </c>
      <c r="R130" s="5" t="s">
        <v>95</v>
      </c>
      <c r="S130" s="5" t="s">
        <v>232</v>
      </c>
      <c r="T130" s="8">
        <v>1</v>
      </c>
      <c r="U130" s="5"/>
      <c r="V130" s="5" t="s">
        <v>888</v>
      </c>
      <c r="W130" s="5" t="s">
        <v>889</v>
      </c>
      <c r="X130" s="5" t="s">
        <v>100</v>
      </c>
      <c r="Y130" s="5" t="s">
        <v>841</v>
      </c>
      <c r="Z130" s="5" t="s">
        <v>890</v>
      </c>
      <c r="AA130" s="6" t="s">
        <v>891</v>
      </c>
    </row>
    <row r="131" spans="1:27" ht="20" customHeight="1" x14ac:dyDescent="0.2">
      <c r="A131" s="4" t="s">
        <v>86</v>
      </c>
      <c r="B131" s="5" t="s">
        <v>87</v>
      </c>
      <c r="C131" s="6" t="s">
        <v>892</v>
      </c>
      <c r="D131" s="6" t="s">
        <v>893</v>
      </c>
      <c r="E131" s="6" t="s">
        <v>829</v>
      </c>
      <c r="F131" s="10">
        <v>3</v>
      </c>
      <c r="G131" s="5" t="s">
        <v>894</v>
      </c>
      <c r="H131" s="5" t="s">
        <v>92</v>
      </c>
      <c r="I131" s="5" t="s">
        <v>121</v>
      </c>
      <c r="J131" s="5" t="s">
        <v>95</v>
      </c>
      <c r="K131" s="8">
        <v>1</v>
      </c>
      <c r="L131" s="8">
        <v>1</v>
      </c>
      <c r="M131" s="8">
        <v>0</v>
      </c>
      <c r="N131" s="8">
        <v>3</v>
      </c>
      <c r="O131" s="8">
        <v>1</v>
      </c>
      <c r="P131" s="5" t="s">
        <v>94</v>
      </c>
      <c r="Q131" s="5" t="s">
        <v>95</v>
      </c>
      <c r="R131" s="5" t="s">
        <v>95</v>
      </c>
      <c r="S131" s="5" t="s">
        <v>96</v>
      </c>
      <c r="T131" s="8">
        <v>1</v>
      </c>
      <c r="U131" s="5"/>
      <c r="V131" s="5" t="s">
        <v>895</v>
      </c>
      <c r="W131" s="5" t="s">
        <v>124</v>
      </c>
      <c r="X131" s="5" t="s">
        <v>100</v>
      </c>
      <c r="Y131" s="5" t="s">
        <v>848</v>
      </c>
      <c r="Z131" s="5" t="s">
        <v>490</v>
      </c>
      <c r="AA131" s="6" t="s">
        <v>896</v>
      </c>
    </row>
    <row r="132" spans="1:27" ht="20" customHeight="1" x14ac:dyDescent="0.2">
      <c r="A132" s="4" t="s">
        <v>86</v>
      </c>
      <c r="B132" s="5" t="s">
        <v>87</v>
      </c>
      <c r="C132" s="6" t="s">
        <v>897</v>
      </c>
      <c r="D132" s="6" t="s">
        <v>898</v>
      </c>
      <c r="E132" s="6" t="s">
        <v>829</v>
      </c>
      <c r="F132" s="10">
        <v>3</v>
      </c>
      <c r="G132" s="5" t="s">
        <v>865</v>
      </c>
      <c r="H132" s="5" t="s">
        <v>120</v>
      </c>
      <c r="I132" s="5" t="s">
        <v>121</v>
      </c>
      <c r="J132" s="5" t="s">
        <v>95</v>
      </c>
      <c r="K132" s="8">
        <v>1</v>
      </c>
      <c r="L132" s="8">
        <v>1</v>
      </c>
      <c r="M132" s="8">
        <v>0</v>
      </c>
      <c r="N132" s="8">
        <v>3</v>
      </c>
      <c r="O132" s="8">
        <v>1</v>
      </c>
      <c r="P132" s="5" t="s">
        <v>95</v>
      </c>
      <c r="Q132" s="5" t="s">
        <v>95</v>
      </c>
      <c r="R132" s="5" t="s">
        <v>95</v>
      </c>
      <c r="S132" s="5" t="s">
        <v>172</v>
      </c>
      <c r="T132" s="8">
        <v>1</v>
      </c>
      <c r="U132" s="5"/>
      <c r="V132" s="5" t="s">
        <v>899</v>
      </c>
      <c r="W132" s="5" t="s">
        <v>124</v>
      </c>
      <c r="X132" s="5" t="s">
        <v>100</v>
      </c>
      <c r="Y132" s="5" t="s">
        <v>877</v>
      </c>
      <c r="Z132" s="5" t="s">
        <v>451</v>
      </c>
      <c r="AA132" s="6" t="s">
        <v>900</v>
      </c>
    </row>
    <row r="133" spans="1:27" ht="20" customHeight="1" x14ac:dyDescent="0.2">
      <c r="A133" s="4" t="s">
        <v>86</v>
      </c>
      <c r="B133" s="5" t="s">
        <v>87</v>
      </c>
      <c r="C133" s="6" t="s">
        <v>901</v>
      </c>
      <c r="D133" s="6" t="s">
        <v>902</v>
      </c>
      <c r="E133" s="6" t="s">
        <v>829</v>
      </c>
      <c r="F133" s="10">
        <v>3</v>
      </c>
      <c r="G133" s="5" t="s">
        <v>903</v>
      </c>
      <c r="H133" s="5" t="s">
        <v>120</v>
      </c>
      <c r="I133" s="5" t="s">
        <v>121</v>
      </c>
      <c r="J133" s="5" t="s">
        <v>95</v>
      </c>
      <c r="K133" s="8">
        <v>1</v>
      </c>
      <c r="L133" s="8">
        <v>1</v>
      </c>
      <c r="M133" s="8">
        <v>0</v>
      </c>
      <c r="N133" s="8">
        <v>3</v>
      </c>
      <c r="O133" s="8">
        <v>1</v>
      </c>
      <c r="P133" s="5" t="s">
        <v>95</v>
      </c>
      <c r="Q133" s="5" t="s">
        <v>95</v>
      </c>
      <c r="R133" s="5" t="s">
        <v>95</v>
      </c>
      <c r="S133" s="5" t="s">
        <v>122</v>
      </c>
      <c r="T133" s="8">
        <v>1</v>
      </c>
      <c r="U133" s="5"/>
      <c r="V133" s="5" t="s">
        <v>904</v>
      </c>
      <c r="W133" s="5" t="s">
        <v>124</v>
      </c>
      <c r="X133" s="5" t="s">
        <v>100</v>
      </c>
      <c r="Y133" s="5" t="s">
        <v>905</v>
      </c>
      <c r="Z133" s="5" t="s">
        <v>653</v>
      </c>
      <c r="AA133" s="6" t="s">
        <v>906</v>
      </c>
    </row>
    <row r="134" spans="1:27" ht="20" customHeight="1" x14ac:dyDescent="0.2">
      <c r="A134" s="4" t="s">
        <v>86</v>
      </c>
      <c r="B134" s="5" t="s">
        <v>87</v>
      </c>
      <c r="C134" s="6" t="s">
        <v>907</v>
      </c>
      <c r="D134" s="6" t="s">
        <v>908</v>
      </c>
      <c r="E134" s="6" t="s">
        <v>829</v>
      </c>
      <c r="F134" s="10">
        <v>3</v>
      </c>
      <c r="G134" s="5" t="s">
        <v>909</v>
      </c>
      <c r="H134" s="5" t="s">
        <v>92</v>
      </c>
      <c r="I134" s="5" t="s">
        <v>121</v>
      </c>
      <c r="J134" s="5" t="s">
        <v>95</v>
      </c>
      <c r="K134" s="8">
        <v>1</v>
      </c>
      <c r="L134" s="8">
        <v>1</v>
      </c>
      <c r="M134" s="8">
        <v>0</v>
      </c>
      <c r="N134" s="8">
        <v>3</v>
      </c>
      <c r="O134" s="8">
        <v>1</v>
      </c>
      <c r="P134" s="5" t="s">
        <v>94</v>
      </c>
      <c r="Q134" s="5" t="s">
        <v>95</v>
      </c>
      <c r="R134" s="5" t="s">
        <v>95</v>
      </c>
      <c r="S134" s="5" t="s">
        <v>122</v>
      </c>
      <c r="T134" s="8">
        <v>1</v>
      </c>
      <c r="U134" s="5"/>
      <c r="V134" s="5" t="s">
        <v>137</v>
      </c>
      <c r="W134" s="5" t="s">
        <v>124</v>
      </c>
      <c r="X134" s="5" t="s">
        <v>100</v>
      </c>
      <c r="Y134" s="5" t="s">
        <v>910</v>
      </c>
      <c r="Z134" s="5" t="s">
        <v>126</v>
      </c>
      <c r="AA134" s="6" t="s">
        <v>911</v>
      </c>
    </row>
    <row r="135" spans="1:27" ht="20" customHeight="1" x14ac:dyDescent="0.2">
      <c r="A135" s="4" t="s">
        <v>86</v>
      </c>
      <c r="B135" s="5" t="s">
        <v>87</v>
      </c>
      <c r="C135" s="6" t="s">
        <v>912</v>
      </c>
      <c r="D135" s="6" t="s">
        <v>913</v>
      </c>
      <c r="E135" s="6" t="s">
        <v>829</v>
      </c>
      <c r="F135" s="10">
        <v>3</v>
      </c>
      <c r="G135" s="5" t="s">
        <v>914</v>
      </c>
      <c r="H135" s="5" t="s">
        <v>92</v>
      </c>
      <c r="I135" s="5" t="s">
        <v>121</v>
      </c>
      <c r="J135" s="5" t="s">
        <v>95</v>
      </c>
      <c r="K135" s="8">
        <v>1</v>
      </c>
      <c r="L135" s="8">
        <v>1</v>
      </c>
      <c r="M135" s="8">
        <v>0</v>
      </c>
      <c r="N135" s="8">
        <v>3</v>
      </c>
      <c r="O135" s="8">
        <v>1</v>
      </c>
      <c r="P135" s="5" t="s">
        <v>94</v>
      </c>
      <c r="Q135" s="5" t="s">
        <v>95</v>
      </c>
      <c r="R135" s="5" t="s">
        <v>95</v>
      </c>
      <c r="S135" s="5" t="s">
        <v>96</v>
      </c>
      <c r="T135" s="8">
        <v>1</v>
      </c>
      <c r="U135" s="5"/>
      <c r="V135" s="5" t="s">
        <v>137</v>
      </c>
      <c r="W135" s="5" t="s">
        <v>124</v>
      </c>
      <c r="X135" s="5" t="s">
        <v>100</v>
      </c>
      <c r="Y135" s="5" t="s">
        <v>848</v>
      </c>
      <c r="Z135" s="5" t="s">
        <v>915</v>
      </c>
      <c r="AA135" s="6" t="s">
        <v>916</v>
      </c>
    </row>
    <row r="136" spans="1:27" ht="20" customHeight="1" x14ac:dyDescent="0.2">
      <c r="A136" s="4" t="s">
        <v>86</v>
      </c>
      <c r="B136" s="5" t="s">
        <v>87</v>
      </c>
      <c r="C136" s="6" t="s">
        <v>917</v>
      </c>
      <c r="D136" s="6" t="s">
        <v>918</v>
      </c>
      <c r="E136" s="6" t="s">
        <v>829</v>
      </c>
      <c r="F136" s="10">
        <v>3</v>
      </c>
      <c r="G136" s="5" t="s">
        <v>903</v>
      </c>
      <c r="H136" s="5" t="s">
        <v>120</v>
      </c>
      <c r="I136" s="5" t="s">
        <v>121</v>
      </c>
      <c r="J136" s="5" t="s">
        <v>95</v>
      </c>
      <c r="K136" s="8">
        <v>1</v>
      </c>
      <c r="L136" s="8">
        <v>1</v>
      </c>
      <c r="M136" s="8">
        <v>0</v>
      </c>
      <c r="N136" s="8">
        <v>3</v>
      </c>
      <c r="O136" s="8">
        <v>1</v>
      </c>
      <c r="P136" s="5" t="s">
        <v>95</v>
      </c>
      <c r="Q136" s="5" t="s">
        <v>95</v>
      </c>
      <c r="R136" s="5" t="s">
        <v>95</v>
      </c>
      <c r="S136" s="5" t="s">
        <v>122</v>
      </c>
      <c r="T136" s="8">
        <v>1</v>
      </c>
      <c r="U136" s="5"/>
      <c r="V136" s="5" t="s">
        <v>137</v>
      </c>
      <c r="W136" s="5" t="s">
        <v>124</v>
      </c>
      <c r="X136" s="5" t="s">
        <v>100</v>
      </c>
      <c r="Y136" s="5" t="s">
        <v>919</v>
      </c>
      <c r="Z136" s="5" t="s">
        <v>920</v>
      </c>
      <c r="AA136" s="6" t="s">
        <v>921</v>
      </c>
    </row>
    <row r="137" spans="1:27" ht="20" customHeight="1" x14ac:dyDescent="0.2">
      <c r="A137" s="4" t="s">
        <v>86</v>
      </c>
      <c r="B137" s="5" t="s">
        <v>87</v>
      </c>
      <c r="C137" s="6" t="s">
        <v>922</v>
      </c>
      <c r="D137" s="6" t="s">
        <v>923</v>
      </c>
      <c r="E137" s="6" t="s">
        <v>829</v>
      </c>
      <c r="F137" s="10">
        <v>3</v>
      </c>
      <c r="G137" s="5" t="s">
        <v>924</v>
      </c>
      <c r="H137" s="5" t="s">
        <v>120</v>
      </c>
      <c r="I137" s="5" t="s">
        <v>121</v>
      </c>
      <c r="J137" s="5" t="s">
        <v>95</v>
      </c>
      <c r="K137" s="8">
        <v>1</v>
      </c>
      <c r="L137" s="8">
        <v>1</v>
      </c>
      <c r="M137" s="8">
        <v>0</v>
      </c>
      <c r="N137" s="8">
        <v>3</v>
      </c>
      <c r="O137" s="8">
        <v>1</v>
      </c>
      <c r="P137" s="5" t="s">
        <v>95</v>
      </c>
      <c r="Q137" s="5" t="s">
        <v>95</v>
      </c>
      <c r="R137" s="5" t="s">
        <v>95</v>
      </c>
      <c r="S137" s="5" t="s">
        <v>172</v>
      </c>
      <c r="T137" s="8">
        <v>1</v>
      </c>
      <c r="U137" s="5"/>
      <c r="V137" s="5" t="s">
        <v>137</v>
      </c>
      <c r="W137" s="5" t="s">
        <v>124</v>
      </c>
      <c r="X137" s="5" t="s">
        <v>100</v>
      </c>
      <c r="Y137" s="5" t="s">
        <v>877</v>
      </c>
      <c r="Z137" s="5" t="s">
        <v>925</v>
      </c>
      <c r="AA137" s="6" t="s">
        <v>926</v>
      </c>
    </row>
    <row r="138" spans="1:27" ht="20" customHeight="1" x14ac:dyDescent="0.2">
      <c r="A138" s="4" t="s">
        <v>86</v>
      </c>
      <c r="B138" s="5" t="s">
        <v>87</v>
      </c>
      <c r="C138" s="6" t="s">
        <v>927</v>
      </c>
      <c r="D138" s="6" t="s">
        <v>928</v>
      </c>
      <c r="E138" s="6" t="s">
        <v>929</v>
      </c>
      <c r="F138" s="7">
        <v>1</v>
      </c>
      <c r="G138" s="5" t="s">
        <v>930</v>
      </c>
      <c r="H138" s="5" t="s">
        <v>92</v>
      </c>
      <c r="I138" s="5" t="s">
        <v>535</v>
      </c>
      <c r="J138" s="5" t="s">
        <v>95</v>
      </c>
      <c r="K138" s="8">
        <v>5</v>
      </c>
      <c r="L138" s="8">
        <v>5</v>
      </c>
      <c r="M138" s="8">
        <v>4</v>
      </c>
      <c r="N138" s="8">
        <v>7</v>
      </c>
      <c r="O138" s="8">
        <v>3</v>
      </c>
      <c r="P138" s="5" t="s">
        <v>94</v>
      </c>
      <c r="Q138" s="5" t="s">
        <v>95</v>
      </c>
      <c r="R138" s="5" t="s">
        <v>94</v>
      </c>
      <c r="S138" s="5" t="s">
        <v>931</v>
      </c>
      <c r="T138" s="8">
        <v>0.5</v>
      </c>
      <c r="U138" s="5" t="s">
        <v>932</v>
      </c>
      <c r="V138" s="5" t="s">
        <v>933</v>
      </c>
      <c r="W138" s="5" t="s">
        <v>934</v>
      </c>
      <c r="X138" s="5" t="s">
        <v>100</v>
      </c>
      <c r="Y138" s="5" t="s">
        <v>935</v>
      </c>
      <c r="Z138" s="5" t="s">
        <v>936</v>
      </c>
      <c r="AA138" s="6" t="s">
        <v>937</v>
      </c>
    </row>
    <row r="139" spans="1:27" ht="20" customHeight="1" x14ac:dyDescent="0.2">
      <c r="A139" s="4" t="s">
        <v>86</v>
      </c>
      <c r="B139" s="5" t="s">
        <v>87</v>
      </c>
      <c r="C139" s="6" t="s">
        <v>938</v>
      </c>
      <c r="D139" s="6" t="s">
        <v>939</v>
      </c>
      <c r="E139" s="6" t="s">
        <v>929</v>
      </c>
      <c r="F139" s="9">
        <v>2</v>
      </c>
      <c r="G139" s="5" t="s">
        <v>940</v>
      </c>
      <c r="H139" s="5" t="s">
        <v>120</v>
      </c>
      <c r="I139" s="5" t="s">
        <v>121</v>
      </c>
      <c r="J139" s="5" t="s">
        <v>95</v>
      </c>
      <c r="K139" s="8">
        <v>3</v>
      </c>
      <c r="L139" s="8">
        <v>3</v>
      </c>
      <c r="M139" s="8">
        <v>2</v>
      </c>
      <c r="N139" s="8">
        <v>5</v>
      </c>
      <c r="O139" s="8">
        <v>2</v>
      </c>
      <c r="P139" s="5" t="s">
        <v>95</v>
      </c>
      <c r="Q139" s="5" t="s">
        <v>95</v>
      </c>
      <c r="R139" s="5" t="s">
        <v>95</v>
      </c>
      <c r="S139" s="5" t="s">
        <v>931</v>
      </c>
      <c r="T139" s="8">
        <v>0.5</v>
      </c>
      <c r="U139" s="5"/>
      <c r="V139" s="5" t="s">
        <v>941</v>
      </c>
      <c r="W139" s="5" t="s">
        <v>124</v>
      </c>
      <c r="X139" s="5" t="s">
        <v>100</v>
      </c>
      <c r="Y139" s="5" t="s">
        <v>942</v>
      </c>
      <c r="Z139" s="5" t="s">
        <v>943</v>
      </c>
      <c r="AA139" s="6" t="s">
        <v>944</v>
      </c>
    </row>
    <row r="140" spans="1:27" ht="20" customHeight="1" x14ac:dyDescent="0.2">
      <c r="A140" s="4" t="s">
        <v>86</v>
      </c>
      <c r="B140" s="5" t="s">
        <v>87</v>
      </c>
      <c r="C140" s="6" t="s">
        <v>945</v>
      </c>
      <c r="D140" s="6" t="s">
        <v>946</v>
      </c>
      <c r="E140" s="6" t="s">
        <v>929</v>
      </c>
      <c r="F140" s="9">
        <v>2</v>
      </c>
      <c r="G140" s="5" t="s">
        <v>947</v>
      </c>
      <c r="H140" s="5" t="s">
        <v>120</v>
      </c>
      <c r="I140" s="5" t="s">
        <v>121</v>
      </c>
      <c r="J140" s="5" t="s">
        <v>95</v>
      </c>
      <c r="K140" s="8">
        <v>3</v>
      </c>
      <c r="L140" s="8">
        <v>3</v>
      </c>
      <c r="M140" s="8">
        <v>2</v>
      </c>
      <c r="N140" s="8">
        <v>5</v>
      </c>
      <c r="O140" s="8">
        <v>2</v>
      </c>
      <c r="P140" s="5" t="s">
        <v>95</v>
      </c>
      <c r="Q140" s="5" t="s">
        <v>94</v>
      </c>
      <c r="R140" s="5" t="s">
        <v>95</v>
      </c>
      <c r="S140" s="5" t="s">
        <v>232</v>
      </c>
      <c r="T140" s="8">
        <v>0.5</v>
      </c>
      <c r="U140" s="5"/>
      <c r="V140" s="5" t="s">
        <v>948</v>
      </c>
      <c r="W140" s="5" t="s">
        <v>949</v>
      </c>
      <c r="X140" s="5" t="s">
        <v>100</v>
      </c>
      <c r="Y140" s="5" t="s">
        <v>950</v>
      </c>
      <c r="Z140" s="5" t="s">
        <v>951</v>
      </c>
      <c r="AA140" s="6" t="s">
        <v>952</v>
      </c>
    </row>
    <row r="141" spans="1:27" ht="20" customHeight="1" x14ac:dyDescent="0.2">
      <c r="A141" s="4" t="s">
        <v>86</v>
      </c>
      <c r="B141" s="5" t="s">
        <v>87</v>
      </c>
      <c r="C141" s="6" t="s">
        <v>953</v>
      </c>
      <c r="D141" s="6" t="s">
        <v>954</v>
      </c>
      <c r="E141" s="6" t="s">
        <v>929</v>
      </c>
      <c r="F141" s="9">
        <v>2</v>
      </c>
      <c r="G141" s="5" t="s">
        <v>955</v>
      </c>
      <c r="H141" s="5" t="s">
        <v>92</v>
      </c>
      <c r="I141" s="5" t="s">
        <v>121</v>
      </c>
      <c r="J141" s="5" t="s">
        <v>95</v>
      </c>
      <c r="K141" s="8">
        <v>3</v>
      </c>
      <c r="L141" s="8">
        <v>3</v>
      </c>
      <c r="M141" s="8">
        <v>2</v>
      </c>
      <c r="N141" s="8">
        <v>5</v>
      </c>
      <c r="O141" s="8">
        <v>2</v>
      </c>
      <c r="P141" s="5" t="s">
        <v>94</v>
      </c>
      <c r="Q141" s="5" t="s">
        <v>95</v>
      </c>
      <c r="R141" s="5" t="s">
        <v>95</v>
      </c>
      <c r="S141" s="5" t="s">
        <v>96</v>
      </c>
      <c r="T141" s="8">
        <v>0.5</v>
      </c>
      <c r="U141" s="5"/>
      <c r="V141" s="5" t="s">
        <v>956</v>
      </c>
      <c r="W141" s="5" t="s">
        <v>124</v>
      </c>
      <c r="X141" s="5" t="s">
        <v>100</v>
      </c>
      <c r="Y141" s="5" t="s">
        <v>957</v>
      </c>
      <c r="Z141" s="5" t="s">
        <v>958</v>
      </c>
      <c r="AA141" s="6" t="s">
        <v>959</v>
      </c>
    </row>
    <row r="142" spans="1:27" ht="20" customHeight="1" x14ac:dyDescent="0.2">
      <c r="A142" s="4" t="s">
        <v>86</v>
      </c>
      <c r="B142" s="5" t="s">
        <v>87</v>
      </c>
      <c r="C142" s="6" t="s">
        <v>960</v>
      </c>
      <c r="D142" s="6" t="s">
        <v>961</v>
      </c>
      <c r="E142" s="6" t="s">
        <v>929</v>
      </c>
      <c r="F142" s="9">
        <v>2</v>
      </c>
      <c r="G142" s="5" t="s">
        <v>962</v>
      </c>
      <c r="H142" s="5" t="s">
        <v>92</v>
      </c>
      <c r="I142" s="5" t="s">
        <v>121</v>
      </c>
      <c r="J142" s="5" t="s">
        <v>95</v>
      </c>
      <c r="K142" s="8">
        <v>3</v>
      </c>
      <c r="L142" s="8">
        <v>3</v>
      </c>
      <c r="M142" s="8">
        <v>2</v>
      </c>
      <c r="N142" s="8">
        <v>5</v>
      </c>
      <c r="O142" s="8">
        <v>2</v>
      </c>
      <c r="P142" s="5" t="s">
        <v>94</v>
      </c>
      <c r="Q142" s="5" t="s">
        <v>95</v>
      </c>
      <c r="R142" s="5" t="s">
        <v>95</v>
      </c>
      <c r="S142" s="5" t="s">
        <v>96</v>
      </c>
      <c r="T142" s="8">
        <v>0.5</v>
      </c>
      <c r="U142" s="5"/>
      <c r="V142" s="5" t="s">
        <v>963</v>
      </c>
      <c r="W142" s="5" t="s">
        <v>124</v>
      </c>
      <c r="X142" s="5" t="s">
        <v>100</v>
      </c>
      <c r="Y142" s="5" t="s">
        <v>964</v>
      </c>
      <c r="Z142" s="5" t="s">
        <v>167</v>
      </c>
      <c r="AA142" s="6" t="s">
        <v>965</v>
      </c>
    </row>
    <row r="143" spans="1:27" ht="20" customHeight="1" x14ac:dyDescent="0.2">
      <c r="A143" s="4" t="s">
        <v>86</v>
      </c>
      <c r="B143" s="5" t="s">
        <v>87</v>
      </c>
      <c r="C143" s="6" t="s">
        <v>966</v>
      </c>
      <c r="D143" s="6" t="s">
        <v>967</v>
      </c>
      <c r="E143" s="6" t="s">
        <v>929</v>
      </c>
      <c r="F143" s="9">
        <v>2</v>
      </c>
      <c r="G143" s="5" t="s">
        <v>968</v>
      </c>
      <c r="H143" s="5" t="s">
        <v>92</v>
      </c>
      <c r="I143" s="5" t="s">
        <v>121</v>
      </c>
      <c r="J143" s="5" t="s">
        <v>95</v>
      </c>
      <c r="K143" s="8">
        <v>3</v>
      </c>
      <c r="L143" s="8">
        <v>3</v>
      </c>
      <c r="M143" s="8">
        <v>2</v>
      </c>
      <c r="N143" s="8">
        <v>5</v>
      </c>
      <c r="O143" s="8">
        <v>2</v>
      </c>
      <c r="P143" s="5" t="s">
        <v>94</v>
      </c>
      <c r="Q143" s="5" t="s">
        <v>95</v>
      </c>
      <c r="R143" s="5" t="s">
        <v>95</v>
      </c>
      <c r="S143" s="5" t="s">
        <v>96</v>
      </c>
      <c r="T143" s="8">
        <v>0.5</v>
      </c>
      <c r="U143" s="5"/>
      <c r="V143" s="5" t="s">
        <v>969</v>
      </c>
      <c r="W143" s="5" t="s">
        <v>124</v>
      </c>
      <c r="X143" s="5" t="s">
        <v>100</v>
      </c>
      <c r="Y143" s="5" t="s">
        <v>970</v>
      </c>
      <c r="Z143" s="5" t="s">
        <v>971</v>
      </c>
      <c r="AA143" s="6" t="s">
        <v>972</v>
      </c>
    </row>
    <row r="144" spans="1:27" ht="20" customHeight="1" x14ac:dyDescent="0.2">
      <c r="A144" s="4" t="s">
        <v>86</v>
      </c>
      <c r="B144" s="5" t="s">
        <v>87</v>
      </c>
      <c r="C144" s="6" t="s">
        <v>973</v>
      </c>
      <c r="D144" s="6" t="s">
        <v>974</v>
      </c>
      <c r="E144" s="6" t="s">
        <v>929</v>
      </c>
      <c r="F144" s="9">
        <v>2</v>
      </c>
      <c r="G144" s="5" t="s">
        <v>975</v>
      </c>
      <c r="H144" s="5" t="s">
        <v>120</v>
      </c>
      <c r="I144" s="5" t="s">
        <v>121</v>
      </c>
      <c r="J144" s="5" t="s">
        <v>95</v>
      </c>
      <c r="K144" s="8">
        <v>3</v>
      </c>
      <c r="L144" s="8">
        <v>3</v>
      </c>
      <c r="M144" s="8">
        <v>2</v>
      </c>
      <c r="N144" s="8">
        <v>5</v>
      </c>
      <c r="O144" s="8">
        <v>2</v>
      </c>
      <c r="P144" s="5" t="s">
        <v>95</v>
      </c>
      <c r="Q144" s="5" t="s">
        <v>95</v>
      </c>
      <c r="R144" s="5" t="s">
        <v>95</v>
      </c>
      <c r="S144" s="5" t="s">
        <v>232</v>
      </c>
      <c r="T144" s="8">
        <v>0.5</v>
      </c>
      <c r="U144" s="5"/>
      <c r="V144" s="5" t="s">
        <v>137</v>
      </c>
      <c r="W144" s="5" t="s">
        <v>124</v>
      </c>
      <c r="X144" s="5" t="s">
        <v>100</v>
      </c>
      <c r="Y144" s="5" t="s">
        <v>976</v>
      </c>
      <c r="Z144" s="5" t="s">
        <v>977</v>
      </c>
      <c r="AA144" s="6" t="s">
        <v>978</v>
      </c>
    </row>
    <row r="145" spans="1:27" ht="20" customHeight="1" x14ac:dyDescent="0.2">
      <c r="A145" s="4" t="s">
        <v>86</v>
      </c>
      <c r="B145" s="5" t="s">
        <v>87</v>
      </c>
      <c r="C145" s="6" t="s">
        <v>979</v>
      </c>
      <c r="D145" s="6" t="s">
        <v>980</v>
      </c>
      <c r="E145" s="6" t="s">
        <v>929</v>
      </c>
      <c r="F145" s="9">
        <v>2</v>
      </c>
      <c r="G145" s="5" t="s">
        <v>981</v>
      </c>
      <c r="H145" s="5" t="s">
        <v>120</v>
      </c>
      <c r="I145" s="5" t="s">
        <v>121</v>
      </c>
      <c r="J145" s="5" t="s">
        <v>95</v>
      </c>
      <c r="K145" s="8">
        <v>3</v>
      </c>
      <c r="L145" s="8">
        <v>3</v>
      </c>
      <c r="M145" s="8">
        <v>2</v>
      </c>
      <c r="N145" s="8">
        <v>5</v>
      </c>
      <c r="O145" s="8">
        <v>2</v>
      </c>
      <c r="P145" s="5" t="s">
        <v>95</v>
      </c>
      <c r="Q145" s="5" t="s">
        <v>95</v>
      </c>
      <c r="R145" s="5" t="s">
        <v>95</v>
      </c>
      <c r="S145" s="5" t="s">
        <v>232</v>
      </c>
      <c r="T145" s="8">
        <v>0.5</v>
      </c>
      <c r="U145" s="5"/>
      <c r="V145" s="5" t="s">
        <v>982</v>
      </c>
      <c r="W145" s="5" t="s">
        <v>124</v>
      </c>
      <c r="X145" s="5" t="s">
        <v>100</v>
      </c>
      <c r="Y145" s="5" t="s">
        <v>983</v>
      </c>
      <c r="Z145" s="5" t="s">
        <v>984</v>
      </c>
      <c r="AA145" s="6" t="s">
        <v>985</v>
      </c>
    </row>
    <row r="146" spans="1:27" ht="20" customHeight="1" x14ac:dyDescent="0.2">
      <c r="A146" s="4" t="s">
        <v>86</v>
      </c>
      <c r="B146" s="5" t="s">
        <v>87</v>
      </c>
      <c r="C146" s="6" t="s">
        <v>986</v>
      </c>
      <c r="D146" s="6" t="s">
        <v>987</v>
      </c>
      <c r="E146" s="6" t="s">
        <v>929</v>
      </c>
      <c r="F146" s="10">
        <v>3</v>
      </c>
      <c r="G146" s="5" t="s">
        <v>988</v>
      </c>
      <c r="H146" s="5" t="s">
        <v>120</v>
      </c>
      <c r="I146" s="5" t="s">
        <v>121</v>
      </c>
      <c r="J146" s="5" t="s">
        <v>95</v>
      </c>
      <c r="K146" s="8">
        <v>1</v>
      </c>
      <c r="L146" s="8">
        <v>1</v>
      </c>
      <c r="M146" s="8">
        <v>0</v>
      </c>
      <c r="N146" s="8">
        <v>3</v>
      </c>
      <c r="O146" s="8">
        <v>1</v>
      </c>
      <c r="P146" s="5" t="s">
        <v>95</v>
      </c>
      <c r="Q146" s="5" t="s">
        <v>95</v>
      </c>
      <c r="R146" s="5" t="s">
        <v>95</v>
      </c>
      <c r="S146" s="5" t="s">
        <v>96</v>
      </c>
      <c r="T146" s="8">
        <v>0.5</v>
      </c>
      <c r="U146" s="5"/>
      <c r="V146" s="5" t="s">
        <v>137</v>
      </c>
      <c r="W146" s="5" t="s">
        <v>124</v>
      </c>
      <c r="X146" s="5" t="s">
        <v>100</v>
      </c>
      <c r="Y146" s="5" t="s">
        <v>989</v>
      </c>
      <c r="Z146" s="5" t="s">
        <v>990</v>
      </c>
      <c r="AA146" s="6" t="s">
        <v>991</v>
      </c>
    </row>
    <row r="147" spans="1:27" ht="20" customHeight="1" x14ac:dyDescent="0.2">
      <c r="A147" s="4" t="s">
        <v>86</v>
      </c>
      <c r="B147" s="5" t="s">
        <v>87</v>
      </c>
      <c r="C147" s="6" t="s">
        <v>992</v>
      </c>
      <c r="D147" s="6" t="s">
        <v>993</v>
      </c>
      <c r="E147" s="6" t="s">
        <v>929</v>
      </c>
      <c r="F147" s="10">
        <v>3</v>
      </c>
      <c r="G147" s="5" t="s">
        <v>994</v>
      </c>
      <c r="H147" s="5" t="s">
        <v>120</v>
      </c>
      <c r="I147" s="5" t="s">
        <v>121</v>
      </c>
      <c r="J147" s="5" t="s">
        <v>95</v>
      </c>
      <c r="K147" s="8">
        <v>1</v>
      </c>
      <c r="L147" s="8">
        <v>1</v>
      </c>
      <c r="M147" s="8">
        <v>0</v>
      </c>
      <c r="N147" s="8">
        <v>3</v>
      </c>
      <c r="O147" s="8">
        <v>1</v>
      </c>
      <c r="P147" s="5" t="s">
        <v>95</v>
      </c>
      <c r="Q147" s="5" t="s">
        <v>95</v>
      </c>
      <c r="R147" s="5" t="s">
        <v>95</v>
      </c>
      <c r="S147" s="5" t="s">
        <v>931</v>
      </c>
      <c r="T147" s="8">
        <v>0.5</v>
      </c>
      <c r="U147" s="5"/>
      <c r="V147" s="5" t="s">
        <v>995</v>
      </c>
      <c r="W147" s="5" t="s">
        <v>124</v>
      </c>
      <c r="X147" s="5" t="s">
        <v>100</v>
      </c>
      <c r="Y147" s="5" t="s">
        <v>996</v>
      </c>
      <c r="Z147" s="5" t="s">
        <v>997</v>
      </c>
      <c r="AA147" s="6" t="s">
        <v>998</v>
      </c>
    </row>
    <row r="148" spans="1:27" ht="20" customHeight="1" x14ac:dyDescent="0.2">
      <c r="A148" s="4" t="s">
        <v>86</v>
      </c>
      <c r="B148" s="5" t="s">
        <v>87</v>
      </c>
      <c r="C148" s="6" t="s">
        <v>999</v>
      </c>
      <c r="D148" s="6" t="s">
        <v>1000</v>
      </c>
      <c r="E148" s="6" t="s">
        <v>929</v>
      </c>
      <c r="F148" s="10">
        <v>3</v>
      </c>
      <c r="G148" s="5" t="s">
        <v>1001</v>
      </c>
      <c r="H148" s="5" t="s">
        <v>120</v>
      </c>
      <c r="I148" s="5" t="s">
        <v>121</v>
      </c>
      <c r="J148" s="5" t="s">
        <v>95</v>
      </c>
      <c r="K148" s="8">
        <v>1</v>
      </c>
      <c r="L148" s="8">
        <v>1</v>
      </c>
      <c r="M148" s="8">
        <v>0</v>
      </c>
      <c r="N148" s="8">
        <v>3</v>
      </c>
      <c r="O148" s="8">
        <v>1</v>
      </c>
      <c r="P148" s="5" t="s">
        <v>95</v>
      </c>
      <c r="Q148" s="5" t="s">
        <v>95</v>
      </c>
      <c r="R148" s="5" t="s">
        <v>95</v>
      </c>
      <c r="S148" s="5" t="s">
        <v>232</v>
      </c>
      <c r="T148" s="8">
        <v>0.5</v>
      </c>
      <c r="U148" s="5"/>
      <c r="V148" s="5" t="s">
        <v>137</v>
      </c>
      <c r="W148" s="5" t="s">
        <v>124</v>
      </c>
      <c r="X148" s="5" t="s">
        <v>100</v>
      </c>
      <c r="Y148" s="5" t="s">
        <v>983</v>
      </c>
      <c r="Z148" s="5" t="s">
        <v>364</v>
      </c>
      <c r="AA148" s="6" t="s">
        <v>1002</v>
      </c>
    </row>
    <row r="149" spans="1:27" ht="20" customHeight="1" x14ac:dyDescent="0.2">
      <c r="A149" s="4" t="s">
        <v>86</v>
      </c>
      <c r="B149" s="5" t="s">
        <v>87</v>
      </c>
      <c r="C149" s="6" t="s">
        <v>1003</v>
      </c>
      <c r="D149" s="6" t="s">
        <v>1004</v>
      </c>
      <c r="E149" s="6" t="s">
        <v>929</v>
      </c>
      <c r="F149" s="10">
        <v>3</v>
      </c>
      <c r="G149" s="5" t="s">
        <v>1005</v>
      </c>
      <c r="H149" s="5" t="s">
        <v>92</v>
      </c>
      <c r="I149" s="5" t="s">
        <v>121</v>
      </c>
      <c r="J149" s="5" t="s">
        <v>95</v>
      </c>
      <c r="K149" s="8">
        <v>1</v>
      </c>
      <c r="L149" s="8">
        <v>1</v>
      </c>
      <c r="M149" s="8">
        <v>0</v>
      </c>
      <c r="N149" s="8">
        <v>3</v>
      </c>
      <c r="O149" s="8">
        <v>1</v>
      </c>
      <c r="P149" s="5" t="s">
        <v>94</v>
      </c>
      <c r="Q149" s="5" t="s">
        <v>95</v>
      </c>
      <c r="R149" s="5" t="s">
        <v>95</v>
      </c>
      <c r="S149" s="5" t="s">
        <v>96</v>
      </c>
      <c r="T149" s="8">
        <v>0.5</v>
      </c>
      <c r="U149" s="5"/>
      <c r="V149" s="5" t="s">
        <v>1006</v>
      </c>
      <c r="W149" s="5" t="s">
        <v>124</v>
      </c>
      <c r="X149" s="5" t="s">
        <v>100</v>
      </c>
      <c r="Y149" s="5" t="s">
        <v>989</v>
      </c>
      <c r="Z149" s="5" t="s">
        <v>1007</v>
      </c>
      <c r="AA149" s="6" t="s">
        <v>1008</v>
      </c>
    </row>
    <row r="150" spans="1:27" ht="20" customHeight="1" x14ac:dyDescent="0.2">
      <c r="A150" s="4" t="s">
        <v>86</v>
      </c>
      <c r="B150" s="5" t="s">
        <v>87</v>
      </c>
      <c r="C150" s="6" t="s">
        <v>1009</v>
      </c>
      <c r="D150" s="6" t="s">
        <v>1010</v>
      </c>
      <c r="E150" s="6" t="s">
        <v>929</v>
      </c>
      <c r="F150" s="10">
        <v>3</v>
      </c>
      <c r="G150" s="5" t="s">
        <v>1011</v>
      </c>
      <c r="H150" s="5" t="s">
        <v>120</v>
      </c>
      <c r="I150" s="5" t="s">
        <v>121</v>
      </c>
      <c r="J150" s="5" t="s">
        <v>95</v>
      </c>
      <c r="K150" s="8">
        <v>1</v>
      </c>
      <c r="L150" s="8">
        <v>1</v>
      </c>
      <c r="M150" s="8">
        <v>0</v>
      </c>
      <c r="N150" s="8">
        <v>3</v>
      </c>
      <c r="O150" s="8">
        <v>1</v>
      </c>
      <c r="P150" s="5" t="s">
        <v>95</v>
      </c>
      <c r="Q150" s="5" t="s">
        <v>95</v>
      </c>
      <c r="R150" s="5" t="s">
        <v>95</v>
      </c>
      <c r="S150" s="5" t="s">
        <v>931</v>
      </c>
      <c r="T150" s="8">
        <v>0.5</v>
      </c>
      <c r="U150" s="5"/>
      <c r="V150" s="5" t="s">
        <v>1012</v>
      </c>
      <c r="W150" s="5" t="s">
        <v>124</v>
      </c>
      <c r="X150" s="5" t="s">
        <v>100</v>
      </c>
      <c r="Y150" s="5" t="s">
        <v>1013</v>
      </c>
      <c r="Z150" s="5" t="s">
        <v>1014</v>
      </c>
      <c r="AA150" s="6" t="s">
        <v>1015</v>
      </c>
    </row>
    <row r="151" spans="1:27" ht="20" customHeight="1" x14ac:dyDescent="0.2">
      <c r="A151" s="4" t="s">
        <v>86</v>
      </c>
      <c r="B151" s="5" t="s">
        <v>87</v>
      </c>
      <c r="C151" s="6" t="s">
        <v>1016</v>
      </c>
      <c r="D151" s="6" t="s">
        <v>1017</v>
      </c>
      <c r="E151" s="6" t="s">
        <v>929</v>
      </c>
      <c r="F151" s="10">
        <v>3</v>
      </c>
      <c r="G151" s="5" t="s">
        <v>1018</v>
      </c>
      <c r="H151" s="5" t="s">
        <v>120</v>
      </c>
      <c r="I151" s="5" t="s">
        <v>121</v>
      </c>
      <c r="J151" s="5" t="s">
        <v>95</v>
      </c>
      <c r="K151" s="8">
        <v>1</v>
      </c>
      <c r="L151" s="8">
        <v>1</v>
      </c>
      <c r="M151" s="8">
        <v>0</v>
      </c>
      <c r="N151" s="8">
        <v>3</v>
      </c>
      <c r="O151" s="8">
        <v>1</v>
      </c>
      <c r="P151" s="5" t="s">
        <v>95</v>
      </c>
      <c r="Q151" s="5" t="s">
        <v>94</v>
      </c>
      <c r="R151" s="5" t="s">
        <v>95</v>
      </c>
      <c r="S151" s="5" t="s">
        <v>232</v>
      </c>
      <c r="T151" s="8">
        <v>0.5</v>
      </c>
      <c r="U151" s="5"/>
      <c r="V151" s="5" t="s">
        <v>1019</v>
      </c>
      <c r="W151" s="5" t="s">
        <v>124</v>
      </c>
      <c r="X151" s="5" t="s">
        <v>100</v>
      </c>
      <c r="Y151" s="5" t="s">
        <v>1020</v>
      </c>
      <c r="Z151" s="5" t="s">
        <v>1021</v>
      </c>
      <c r="AA151" s="6" t="s">
        <v>1022</v>
      </c>
    </row>
    <row r="152" spans="1:27" ht="20" customHeight="1" x14ac:dyDescent="0.2">
      <c r="A152" s="4" t="s">
        <v>86</v>
      </c>
      <c r="B152" s="5" t="s">
        <v>87</v>
      </c>
      <c r="C152" s="6" t="s">
        <v>1023</v>
      </c>
      <c r="D152" s="6" t="s">
        <v>1024</v>
      </c>
      <c r="E152" s="6" t="s">
        <v>929</v>
      </c>
      <c r="F152" s="10">
        <v>3</v>
      </c>
      <c r="G152" s="5" t="s">
        <v>1025</v>
      </c>
      <c r="H152" s="5" t="s">
        <v>120</v>
      </c>
      <c r="I152" s="5" t="s">
        <v>121</v>
      </c>
      <c r="J152" s="5" t="s">
        <v>95</v>
      </c>
      <c r="K152" s="8">
        <v>1</v>
      </c>
      <c r="L152" s="8">
        <v>1</v>
      </c>
      <c r="M152" s="8">
        <v>0</v>
      </c>
      <c r="N152" s="8">
        <v>3</v>
      </c>
      <c r="O152" s="8">
        <v>1</v>
      </c>
      <c r="P152" s="5" t="s">
        <v>95</v>
      </c>
      <c r="Q152" s="5" t="s">
        <v>95</v>
      </c>
      <c r="R152" s="5" t="s">
        <v>95</v>
      </c>
      <c r="S152" s="5" t="s">
        <v>931</v>
      </c>
      <c r="T152" s="8">
        <v>0.5</v>
      </c>
      <c r="U152" s="5"/>
      <c r="V152" s="5" t="s">
        <v>137</v>
      </c>
      <c r="W152" s="5" t="s">
        <v>124</v>
      </c>
      <c r="X152" s="5" t="s">
        <v>100</v>
      </c>
      <c r="Y152" s="5" t="s">
        <v>1026</v>
      </c>
      <c r="Z152" s="5" t="s">
        <v>1027</v>
      </c>
      <c r="AA152" s="6" t="s">
        <v>1028</v>
      </c>
    </row>
    <row r="153" spans="1:27" ht="20" customHeight="1" x14ac:dyDescent="0.2">
      <c r="A153" s="4" t="s">
        <v>86</v>
      </c>
      <c r="B153" s="5" t="s">
        <v>87</v>
      </c>
      <c r="C153" s="6" t="s">
        <v>1029</v>
      </c>
      <c r="D153" s="6" t="s">
        <v>1030</v>
      </c>
      <c r="E153" s="6" t="s">
        <v>929</v>
      </c>
      <c r="F153" s="10">
        <v>3</v>
      </c>
      <c r="G153" s="5" t="s">
        <v>1031</v>
      </c>
      <c r="H153" s="5" t="s">
        <v>120</v>
      </c>
      <c r="I153" s="5" t="s">
        <v>121</v>
      </c>
      <c r="J153" s="5" t="s">
        <v>95</v>
      </c>
      <c r="K153" s="8">
        <v>1</v>
      </c>
      <c r="L153" s="8">
        <v>1</v>
      </c>
      <c r="M153" s="8">
        <v>0</v>
      </c>
      <c r="N153" s="8">
        <v>3</v>
      </c>
      <c r="O153" s="8">
        <v>1</v>
      </c>
      <c r="P153" s="5" t="s">
        <v>95</v>
      </c>
      <c r="Q153" s="5" t="s">
        <v>95</v>
      </c>
      <c r="R153" s="5" t="s">
        <v>95</v>
      </c>
      <c r="S153" s="5" t="s">
        <v>931</v>
      </c>
      <c r="T153" s="8">
        <v>0.5</v>
      </c>
      <c r="U153" s="5"/>
      <c r="V153" s="5" t="s">
        <v>1032</v>
      </c>
      <c r="W153" s="5" t="s">
        <v>124</v>
      </c>
      <c r="X153" s="5" t="s">
        <v>100</v>
      </c>
      <c r="Y153" s="5" t="s">
        <v>1033</v>
      </c>
      <c r="Z153" s="5" t="s">
        <v>1034</v>
      </c>
      <c r="AA153" s="6" t="s">
        <v>1035</v>
      </c>
    </row>
    <row r="154" spans="1:27" ht="20" customHeight="1" x14ac:dyDescent="0.2">
      <c r="A154" s="4" t="s">
        <v>86</v>
      </c>
      <c r="B154" s="5" t="s">
        <v>87</v>
      </c>
      <c r="C154" s="6" t="s">
        <v>1036</v>
      </c>
      <c r="D154" s="6" t="s">
        <v>1037</v>
      </c>
      <c r="E154" s="6" t="s">
        <v>929</v>
      </c>
      <c r="F154" s="10">
        <v>3</v>
      </c>
      <c r="G154" s="5" t="s">
        <v>1038</v>
      </c>
      <c r="H154" s="5" t="s">
        <v>120</v>
      </c>
      <c r="I154" s="5" t="s">
        <v>121</v>
      </c>
      <c r="J154" s="5" t="s">
        <v>95</v>
      </c>
      <c r="K154" s="8">
        <v>1</v>
      </c>
      <c r="L154" s="8">
        <v>1</v>
      </c>
      <c r="M154" s="8">
        <v>0</v>
      </c>
      <c r="N154" s="8">
        <v>3</v>
      </c>
      <c r="O154" s="8">
        <v>1</v>
      </c>
      <c r="P154" s="5" t="s">
        <v>95</v>
      </c>
      <c r="Q154" s="5" t="s">
        <v>95</v>
      </c>
      <c r="R154" s="5" t="s">
        <v>95</v>
      </c>
      <c r="S154" s="5" t="s">
        <v>931</v>
      </c>
      <c r="T154" s="8">
        <v>0.5</v>
      </c>
      <c r="U154" s="5"/>
      <c r="V154" s="5" t="s">
        <v>1039</v>
      </c>
      <c r="W154" s="5" t="s">
        <v>124</v>
      </c>
      <c r="X154" s="5" t="s">
        <v>100</v>
      </c>
      <c r="Y154" s="5" t="s">
        <v>1013</v>
      </c>
      <c r="Z154" s="5" t="s">
        <v>997</v>
      </c>
      <c r="AA154" s="6" t="s">
        <v>1040</v>
      </c>
    </row>
    <row r="155" spans="1:27" ht="20" customHeight="1" x14ac:dyDescent="0.2">
      <c r="A155" s="4" t="s">
        <v>86</v>
      </c>
      <c r="B155" s="5" t="s">
        <v>87</v>
      </c>
      <c r="C155" s="6" t="s">
        <v>1041</v>
      </c>
      <c r="D155" s="6" t="s">
        <v>1042</v>
      </c>
      <c r="E155" s="6" t="s">
        <v>929</v>
      </c>
      <c r="F155" s="10">
        <v>3</v>
      </c>
      <c r="G155" s="5" t="s">
        <v>1043</v>
      </c>
      <c r="H155" s="5" t="s">
        <v>120</v>
      </c>
      <c r="I155" s="5" t="s">
        <v>121</v>
      </c>
      <c r="J155" s="5" t="s">
        <v>95</v>
      </c>
      <c r="K155" s="8">
        <v>1</v>
      </c>
      <c r="L155" s="8">
        <v>1</v>
      </c>
      <c r="M155" s="8">
        <v>0</v>
      </c>
      <c r="N155" s="8">
        <v>3</v>
      </c>
      <c r="O155" s="8">
        <v>1</v>
      </c>
      <c r="P155" s="5" t="s">
        <v>95</v>
      </c>
      <c r="Q155" s="5" t="s">
        <v>95</v>
      </c>
      <c r="R155" s="5" t="s">
        <v>95</v>
      </c>
      <c r="S155" s="5" t="s">
        <v>232</v>
      </c>
      <c r="T155" s="8">
        <v>0.5</v>
      </c>
      <c r="U155" s="5"/>
      <c r="V155" s="5" t="s">
        <v>137</v>
      </c>
      <c r="W155" s="5" t="s">
        <v>124</v>
      </c>
      <c r="X155" s="5" t="s">
        <v>100</v>
      </c>
      <c r="Y155" s="5" t="s">
        <v>1044</v>
      </c>
      <c r="Z155" s="5" t="s">
        <v>364</v>
      </c>
      <c r="AA155" s="6" t="s">
        <v>1045</v>
      </c>
    </row>
    <row r="156" spans="1:27" ht="20" customHeight="1" x14ac:dyDescent="0.2">
      <c r="A156" s="4" t="s">
        <v>86</v>
      </c>
      <c r="B156" s="5" t="s">
        <v>87</v>
      </c>
      <c r="C156" s="6" t="s">
        <v>1046</v>
      </c>
      <c r="D156" s="6" t="s">
        <v>1047</v>
      </c>
      <c r="E156" s="6" t="s">
        <v>929</v>
      </c>
      <c r="F156" s="10">
        <v>3</v>
      </c>
      <c r="G156" s="5" t="s">
        <v>981</v>
      </c>
      <c r="H156" s="5" t="s">
        <v>120</v>
      </c>
      <c r="I156" s="5" t="s">
        <v>121</v>
      </c>
      <c r="J156" s="5" t="s">
        <v>95</v>
      </c>
      <c r="K156" s="8">
        <v>1</v>
      </c>
      <c r="L156" s="8">
        <v>1</v>
      </c>
      <c r="M156" s="8">
        <v>0</v>
      </c>
      <c r="N156" s="8">
        <v>3</v>
      </c>
      <c r="O156" s="8">
        <v>1</v>
      </c>
      <c r="P156" s="5" t="s">
        <v>95</v>
      </c>
      <c r="Q156" s="5" t="s">
        <v>95</v>
      </c>
      <c r="R156" s="5" t="s">
        <v>95</v>
      </c>
      <c r="S156" s="5" t="s">
        <v>232</v>
      </c>
      <c r="T156" s="8">
        <v>0.5</v>
      </c>
      <c r="U156" s="5"/>
      <c r="V156" s="5" t="s">
        <v>1048</v>
      </c>
      <c r="W156" s="5" t="s">
        <v>124</v>
      </c>
      <c r="X156" s="5" t="s">
        <v>100</v>
      </c>
      <c r="Y156" s="5" t="s">
        <v>1049</v>
      </c>
      <c r="Z156" s="5" t="s">
        <v>236</v>
      </c>
      <c r="AA156" s="6" t="s">
        <v>1050</v>
      </c>
    </row>
    <row r="157" spans="1:27" ht="20" customHeight="1" x14ac:dyDescent="0.2">
      <c r="A157" s="4" t="s">
        <v>86</v>
      </c>
      <c r="B157" s="5" t="s">
        <v>87</v>
      </c>
      <c r="C157" s="6" t="s">
        <v>1051</v>
      </c>
      <c r="D157" s="6" t="s">
        <v>1052</v>
      </c>
      <c r="E157" s="6" t="s">
        <v>929</v>
      </c>
      <c r="F157" s="10">
        <v>3</v>
      </c>
      <c r="G157" s="5" t="s">
        <v>1053</v>
      </c>
      <c r="H157" s="5" t="s">
        <v>92</v>
      </c>
      <c r="I157" s="5" t="s">
        <v>121</v>
      </c>
      <c r="J157" s="5" t="s">
        <v>95</v>
      </c>
      <c r="K157" s="8">
        <v>1</v>
      </c>
      <c r="L157" s="8">
        <v>1</v>
      </c>
      <c r="M157" s="8">
        <v>0</v>
      </c>
      <c r="N157" s="8">
        <v>3</v>
      </c>
      <c r="O157" s="8">
        <v>1</v>
      </c>
      <c r="P157" s="5" t="s">
        <v>94</v>
      </c>
      <c r="Q157" s="5" t="s">
        <v>95</v>
      </c>
      <c r="R157" s="5" t="s">
        <v>95</v>
      </c>
      <c r="S157" s="5" t="s">
        <v>96</v>
      </c>
      <c r="T157" s="8">
        <v>0.5</v>
      </c>
      <c r="U157" s="5"/>
      <c r="V157" s="5" t="s">
        <v>137</v>
      </c>
      <c r="W157" s="5" t="s">
        <v>124</v>
      </c>
      <c r="X157" s="5" t="s">
        <v>100</v>
      </c>
      <c r="Y157" s="5" t="s">
        <v>964</v>
      </c>
      <c r="Z157" s="5" t="s">
        <v>1054</v>
      </c>
      <c r="AA157" s="6" t="s">
        <v>1055</v>
      </c>
    </row>
    <row r="158" spans="1:27" ht="20" customHeight="1" x14ac:dyDescent="0.2">
      <c r="A158" s="4" t="s">
        <v>86</v>
      </c>
      <c r="B158" s="5" t="s">
        <v>87</v>
      </c>
      <c r="C158" s="6" t="s">
        <v>1056</v>
      </c>
      <c r="D158" s="6" t="s">
        <v>1057</v>
      </c>
      <c r="E158" s="6" t="s">
        <v>929</v>
      </c>
      <c r="F158" s="10">
        <v>3</v>
      </c>
      <c r="G158" s="5" t="s">
        <v>1058</v>
      </c>
      <c r="H158" s="5" t="s">
        <v>120</v>
      </c>
      <c r="I158" s="5" t="s">
        <v>121</v>
      </c>
      <c r="J158" s="5" t="s">
        <v>95</v>
      </c>
      <c r="K158" s="8">
        <v>1</v>
      </c>
      <c r="L158" s="8">
        <v>1</v>
      </c>
      <c r="M158" s="8">
        <v>0</v>
      </c>
      <c r="N158" s="8">
        <v>3</v>
      </c>
      <c r="O158" s="8">
        <v>1</v>
      </c>
      <c r="P158" s="5" t="s">
        <v>95</v>
      </c>
      <c r="Q158" s="5" t="s">
        <v>95</v>
      </c>
      <c r="R158" s="5" t="s">
        <v>95</v>
      </c>
      <c r="S158" s="5" t="s">
        <v>96</v>
      </c>
      <c r="T158" s="8">
        <v>0.5</v>
      </c>
      <c r="U158" s="5"/>
      <c r="V158" s="5" t="s">
        <v>137</v>
      </c>
      <c r="W158" s="5" t="s">
        <v>124</v>
      </c>
      <c r="X158" s="5" t="s">
        <v>100</v>
      </c>
      <c r="Y158" s="5" t="s">
        <v>1059</v>
      </c>
      <c r="Z158" s="5" t="s">
        <v>490</v>
      </c>
      <c r="AA158" s="6" t="s">
        <v>1060</v>
      </c>
    </row>
    <row r="159" spans="1:27" ht="20" customHeight="1" x14ac:dyDescent="0.2">
      <c r="A159" s="4" t="s">
        <v>86</v>
      </c>
      <c r="B159" s="5" t="s">
        <v>87</v>
      </c>
      <c r="C159" s="6" t="s">
        <v>1061</v>
      </c>
      <c r="D159" s="6" t="s">
        <v>1062</v>
      </c>
      <c r="E159" s="6" t="s">
        <v>1063</v>
      </c>
      <c r="F159" s="7">
        <v>1</v>
      </c>
      <c r="G159" s="5" t="s">
        <v>1064</v>
      </c>
      <c r="H159" s="5" t="s">
        <v>120</v>
      </c>
      <c r="I159" s="5" t="s">
        <v>384</v>
      </c>
      <c r="J159" s="5" t="s">
        <v>95</v>
      </c>
      <c r="K159" s="8">
        <v>5</v>
      </c>
      <c r="L159" s="8">
        <v>5</v>
      </c>
      <c r="M159" s="8">
        <v>4</v>
      </c>
      <c r="N159" s="8">
        <v>7</v>
      </c>
      <c r="O159" s="8">
        <v>3</v>
      </c>
      <c r="P159" s="5" t="s">
        <v>95</v>
      </c>
      <c r="Q159" s="5" t="s">
        <v>94</v>
      </c>
      <c r="R159" s="5" t="s">
        <v>94</v>
      </c>
      <c r="S159" s="5" t="s">
        <v>232</v>
      </c>
      <c r="T159" s="8">
        <v>1.2</v>
      </c>
      <c r="U159" s="5" t="s">
        <v>1065</v>
      </c>
      <c r="V159" s="5" t="s">
        <v>1066</v>
      </c>
      <c r="W159" s="5" t="s">
        <v>1067</v>
      </c>
      <c r="X159" s="5" t="s">
        <v>100</v>
      </c>
      <c r="Y159" s="5" t="s">
        <v>1068</v>
      </c>
      <c r="Z159" s="5" t="s">
        <v>1069</v>
      </c>
      <c r="AA159" s="6" t="s">
        <v>1070</v>
      </c>
    </row>
    <row r="160" spans="1:27" ht="20" customHeight="1" x14ac:dyDescent="0.2">
      <c r="A160" s="4" t="s">
        <v>86</v>
      </c>
      <c r="B160" s="5" t="s">
        <v>87</v>
      </c>
      <c r="C160" s="6" t="s">
        <v>1071</v>
      </c>
      <c r="D160" s="6" t="s">
        <v>1072</v>
      </c>
      <c r="E160" s="6" t="s">
        <v>1063</v>
      </c>
      <c r="F160" s="9">
        <v>2</v>
      </c>
      <c r="G160" s="5" t="s">
        <v>1073</v>
      </c>
      <c r="H160" s="5" t="s">
        <v>120</v>
      </c>
      <c r="I160" s="5" t="s">
        <v>121</v>
      </c>
      <c r="J160" s="5" t="s">
        <v>95</v>
      </c>
      <c r="K160" s="8">
        <v>3</v>
      </c>
      <c r="L160" s="8">
        <v>3</v>
      </c>
      <c r="M160" s="8">
        <v>2</v>
      </c>
      <c r="N160" s="8">
        <v>5</v>
      </c>
      <c r="O160" s="8">
        <v>2</v>
      </c>
      <c r="P160" s="5" t="s">
        <v>95</v>
      </c>
      <c r="Q160" s="5" t="s">
        <v>94</v>
      </c>
      <c r="R160" s="5" t="s">
        <v>95</v>
      </c>
      <c r="S160" s="5" t="s">
        <v>232</v>
      </c>
      <c r="T160" s="8">
        <v>1.2</v>
      </c>
      <c r="U160" s="5"/>
      <c r="V160" s="5" t="s">
        <v>1066</v>
      </c>
      <c r="W160" s="5" t="s">
        <v>124</v>
      </c>
      <c r="X160" s="5" t="s">
        <v>100</v>
      </c>
      <c r="Y160" s="5" t="s">
        <v>1074</v>
      </c>
      <c r="Z160" s="5" t="s">
        <v>1075</v>
      </c>
      <c r="AA160" s="6" t="s">
        <v>1076</v>
      </c>
    </row>
    <row r="161" spans="1:27" ht="20" customHeight="1" x14ac:dyDescent="0.2">
      <c r="A161" s="4" t="s">
        <v>86</v>
      </c>
      <c r="B161" s="5" t="s">
        <v>87</v>
      </c>
      <c r="C161" s="6" t="s">
        <v>1077</v>
      </c>
      <c r="D161" s="6" t="s">
        <v>1078</v>
      </c>
      <c r="E161" s="6" t="s">
        <v>1063</v>
      </c>
      <c r="F161" s="9">
        <v>2</v>
      </c>
      <c r="G161" s="5" t="s">
        <v>1079</v>
      </c>
      <c r="H161" s="5" t="s">
        <v>120</v>
      </c>
      <c r="I161" s="5" t="s">
        <v>121</v>
      </c>
      <c r="J161" s="5" t="s">
        <v>95</v>
      </c>
      <c r="K161" s="8">
        <v>3</v>
      </c>
      <c r="L161" s="8">
        <v>3</v>
      </c>
      <c r="M161" s="8">
        <v>2</v>
      </c>
      <c r="N161" s="8">
        <v>5</v>
      </c>
      <c r="O161" s="8">
        <v>2</v>
      </c>
      <c r="P161" s="5" t="s">
        <v>95</v>
      </c>
      <c r="Q161" s="5" t="s">
        <v>95</v>
      </c>
      <c r="R161" s="5" t="s">
        <v>95</v>
      </c>
      <c r="S161" s="5" t="s">
        <v>232</v>
      </c>
      <c r="T161" s="8">
        <v>1.2</v>
      </c>
      <c r="U161" s="5"/>
      <c r="V161" s="5" t="s">
        <v>1080</v>
      </c>
      <c r="W161" s="5" t="s">
        <v>1081</v>
      </c>
      <c r="X161" s="5" t="s">
        <v>100</v>
      </c>
      <c r="Y161" s="5" t="s">
        <v>1082</v>
      </c>
      <c r="Z161" s="5" t="s">
        <v>1083</v>
      </c>
      <c r="AA161" s="6" t="s">
        <v>1084</v>
      </c>
    </row>
    <row r="162" spans="1:27" ht="20" customHeight="1" x14ac:dyDescent="0.2">
      <c r="A162" s="4" t="s">
        <v>86</v>
      </c>
      <c r="B162" s="5" t="s">
        <v>87</v>
      </c>
      <c r="C162" s="6" t="s">
        <v>1085</v>
      </c>
      <c r="D162" s="6" t="s">
        <v>1086</v>
      </c>
      <c r="E162" s="6" t="s">
        <v>1063</v>
      </c>
      <c r="F162" s="9">
        <v>2</v>
      </c>
      <c r="G162" s="5" t="s">
        <v>1087</v>
      </c>
      <c r="H162" s="5" t="s">
        <v>120</v>
      </c>
      <c r="I162" s="5" t="s">
        <v>121</v>
      </c>
      <c r="J162" s="5" t="s">
        <v>95</v>
      </c>
      <c r="K162" s="8">
        <v>3</v>
      </c>
      <c r="L162" s="8">
        <v>3</v>
      </c>
      <c r="M162" s="8">
        <v>2</v>
      </c>
      <c r="N162" s="8">
        <v>5</v>
      </c>
      <c r="O162" s="8">
        <v>2</v>
      </c>
      <c r="P162" s="5" t="s">
        <v>94</v>
      </c>
      <c r="Q162" s="5" t="s">
        <v>95</v>
      </c>
      <c r="R162" s="5" t="s">
        <v>95</v>
      </c>
      <c r="S162" s="5" t="s">
        <v>232</v>
      </c>
      <c r="T162" s="8">
        <v>1.2</v>
      </c>
      <c r="U162" s="5"/>
      <c r="V162" s="5" t="s">
        <v>137</v>
      </c>
      <c r="W162" s="5" t="s">
        <v>124</v>
      </c>
      <c r="X162" s="5" t="s">
        <v>100</v>
      </c>
      <c r="Y162" s="5" t="s">
        <v>1082</v>
      </c>
      <c r="Z162" s="5" t="s">
        <v>364</v>
      </c>
      <c r="AA162" s="6" t="s">
        <v>1088</v>
      </c>
    </row>
    <row r="163" spans="1:27" ht="20" customHeight="1" x14ac:dyDescent="0.2">
      <c r="A163" s="4" t="s">
        <v>86</v>
      </c>
      <c r="B163" s="5" t="s">
        <v>87</v>
      </c>
      <c r="C163" s="6" t="s">
        <v>1089</v>
      </c>
      <c r="D163" s="6" t="s">
        <v>1090</v>
      </c>
      <c r="E163" s="6" t="s">
        <v>1063</v>
      </c>
      <c r="F163" s="9">
        <v>2</v>
      </c>
      <c r="G163" s="5" t="s">
        <v>1091</v>
      </c>
      <c r="H163" s="5" t="s">
        <v>92</v>
      </c>
      <c r="I163" s="5" t="s">
        <v>121</v>
      </c>
      <c r="J163" s="5" t="s">
        <v>95</v>
      </c>
      <c r="K163" s="8">
        <v>3</v>
      </c>
      <c r="L163" s="8">
        <v>3</v>
      </c>
      <c r="M163" s="8">
        <v>2</v>
      </c>
      <c r="N163" s="8">
        <v>5</v>
      </c>
      <c r="O163" s="8">
        <v>2</v>
      </c>
      <c r="P163" s="5" t="s">
        <v>94</v>
      </c>
      <c r="Q163" s="5" t="s">
        <v>95</v>
      </c>
      <c r="R163" s="5" t="s">
        <v>95</v>
      </c>
      <c r="S163" s="5" t="s">
        <v>232</v>
      </c>
      <c r="T163" s="8">
        <v>1.2</v>
      </c>
      <c r="U163" s="5"/>
      <c r="V163" s="5" t="s">
        <v>1092</v>
      </c>
      <c r="W163" s="5" t="s">
        <v>124</v>
      </c>
      <c r="X163" s="5" t="s">
        <v>100</v>
      </c>
      <c r="Y163" s="5" t="s">
        <v>1082</v>
      </c>
      <c r="Z163" s="5" t="s">
        <v>364</v>
      </c>
      <c r="AA163" s="6" t="s">
        <v>1093</v>
      </c>
    </row>
    <row r="164" spans="1:27" ht="20" customHeight="1" x14ac:dyDescent="0.2">
      <c r="A164" s="4" t="s">
        <v>86</v>
      </c>
      <c r="B164" s="5" t="s">
        <v>87</v>
      </c>
      <c r="C164" s="6" t="s">
        <v>1094</v>
      </c>
      <c r="D164" s="6" t="s">
        <v>1095</v>
      </c>
      <c r="E164" s="6" t="s">
        <v>1063</v>
      </c>
      <c r="F164" s="9">
        <v>2</v>
      </c>
      <c r="G164" s="5" t="s">
        <v>1096</v>
      </c>
      <c r="H164" s="5" t="s">
        <v>92</v>
      </c>
      <c r="I164" s="5" t="s">
        <v>121</v>
      </c>
      <c r="J164" s="5" t="s">
        <v>95</v>
      </c>
      <c r="K164" s="8">
        <v>3</v>
      </c>
      <c r="L164" s="8">
        <v>3</v>
      </c>
      <c r="M164" s="8">
        <v>2</v>
      </c>
      <c r="N164" s="8">
        <v>5</v>
      </c>
      <c r="O164" s="8">
        <v>2</v>
      </c>
      <c r="P164" s="5" t="s">
        <v>94</v>
      </c>
      <c r="Q164" s="5" t="s">
        <v>95</v>
      </c>
      <c r="R164" s="5" t="s">
        <v>95</v>
      </c>
      <c r="S164" s="5" t="s">
        <v>232</v>
      </c>
      <c r="T164" s="8">
        <v>1.2</v>
      </c>
      <c r="U164" s="5"/>
      <c r="V164" s="5" t="s">
        <v>1097</v>
      </c>
      <c r="W164" s="5" t="s">
        <v>1098</v>
      </c>
      <c r="X164" s="5" t="s">
        <v>100</v>
      </c>
      <c r="Y164" s="5" t="s">
        <v>1082</v>
      </c>
      <c r="Z164" s="5" t="s">
        <v>1099</v>
      </c>
      <c r="AA164" s="6" t="s">
        <v>1100</v>
      </c>
    </row>
    <row r="165" spans="1:27" ht="20" customHeight="1" x14ac:dyDescent="0.2">
      <c r="A165" s="4" t="s">
        <v>86</v>
      </c>
      <c r="B165" s="5" t="s">
        <v>87</v>
      </c>
      <c r="C165" s="6" t="s">
        <v>1101</v>
      </c>
      <c r="D165" s="6" t="s">
        <v>1102</v>
      </c>
      <c r="E165" s="6" t="s">
        <v>1063</v>
      </c>
      <c r="F165" s="10">
        <v>3</v>
      </c>
      <c r="G165" s="5" t="s">
        <v>1103</v>
      </c>
      <c r="H165" s="5" t="s">
        <v>92</v>
      </c>
      <c r="I165" s="5" t="s">
        <v>121</v>
      </c>
      <c r="J165" s="5" t="s">
        <v>95</v>
      </c>
      <c r="K165" s="8">
        <v>1</v>
      </c>
      <c r="L165" s="8">
        <v>1</v>
      </c>
      <c r="M165" s="8">
        <v>0</v>
      </c>
      <c r="N165" s="8">
        <v>3</v>
      </c>
      <c r="O165" s="8">
        <v>1</v>
      </c>
      <c r="P165" s="5" t="s">
        <v>94</v>
      </c>
      <c r="Q165" s="5" t="s">
        <v>95</v>
      </c>
      <c r="R165" s="5" t="s">
        <v>95</v>
      </c>
      <c r="S165" s="5" t="s">
        <v>232</v>
      </c>
      <c r="T165" s="8">
        <v>1.2</v>
      </c>
      <c r="U165" s="5"/>
      <c r="V165" s="5" t="s">
        <v>1104</v>
      </c>
      <c r="W165" s="5" t="s">
        <v>124</v>
      </c>
      <c r="X165" s="5" t="s">
        <v>100</v>
      </c>
      <c r="Y165" s="5" t="s">
        <v>1082</v>
      </c>
      <c r="Z165" s="5" t="s">
        <v>1105</v>
      </c>
      <c r="AA165" s="6" t="s">
        <v>1106</v>
      </c>
    </row>
    <row r="166" spans="1:27" ht="20" customHeight="1" x14ac:dyDescent="0.2">
      <c r="A166" s="4" t="s">
        <v>86</v>
      </c>
      <c r="B166" s="5" t="s">
        <v>87</v>
      </c>
      <c r="C166" s="6" t="s">
        <v>1107</v>
      </c>
      <c r="D166" s="6" t="s">
        <v>1108</v>
      </c>
      <c r="E166" s="6" t="s">
        <v>1063</v>
      </c>
      <c r="F166" s="10">
        <v>3</v>
      </c>
      <c r="G166" s="5" t="s">
        <v>1109</v>
      </c>
      <c r="H166" s="5" t="s">
        <v>92</v>
      </c>
      <c r="I166" s="5" t="s">
        <v>121</v>
      </c>
      <c r="J166" s="5" t="s">
        <v>95</v>
      </c>
      <c r="K166" s="8">
        <v>1</v>
      </c>
      <c r="L166" s="8">
        <v>1</v>
      </c>
      <c r="M166" s="8">
        <v>0</v>
      </c>
      <c r="N166" s="8">
        <v>3</v>
      </c>
      <c r="O166" s="8">
        <v>1</v>
      </c>
      <c r="P166" s="5" t="s">
        <v>94</v>
      </c>
      <c r="Q166" s="5" t="s">
        <v>95</v>
      </c>
      <c r="R166" s="5" t="s">
        <v>95</v>
      </c>
      <c r="S166" s="5" t="s">
        <v>96</v>
      </c>
      <c r="T166" s="8">
        <v>1.2</v>
      </c>
      <c r="U166" s="5"/>
      <c r="V166" s="5" t="s">
        <v>137</v>
      </c>
      <c r="W166" s="5" t="s">
        <v>124</v>
      </c>
      <c r="X166" s="5" t="s">
        <v>100</v>
      </c>
      <c r="Y166" s="5" t="s">
        <v>1110</v>
      </c>
      <c r="Z166" s="5" t="s">
        <v>490</v>
      </c>
      <c r="AA166" s="6" t="s">
        <v>1111</v>
      </c>
    </row>
    <row r="167" spans="1:27" ht="20" customHeight="1" x14ac:dyDescent="0.2">
      <c r="A167" s="4" t="s">
        <v>86</v>
      </c>
      <c r="B167" s="5" t="s">
        <v>87</v>
      </c>
      <c r="C167" s="6" t="s">
        <v>1112</v>
      </c>
      <c r="D167" s="6" t="s">
        <v>1113</v>
      </c>
      <c r="E167" s="6" t="s">
        <v>1063</v>
      </c>
      <c r="F167" s="10">
        <v>3</v>
      </c>
      <c r="G167" s="5" t="s">
        <v>1114</v>
      </c>
      <c r="H167" s="5" t="s">
        <v>120</v>
      </c>
      <c r="I167" s="5" t="s">
        <v>121</v>
      </c>
      <c r="J167" s="5" t="s">
        <v>95</v>
      </c>
      <c r="K167" s="8">
        <v>1</v>
      </c>
      <c r="L167" s="8">
        <v>1</v>
      </c>
      <c r="M167" s="8">
        <v>0</v>
      </c>
      <c r="N167" s="8">
        <v>3</v>
      </c>
      <c r="O167" s="8">
        <v>1</v>
      </c>
      <c r="P167" s="5" t="s">
        <v>95</v>
      </c>
      <c r="Q167" s="5" t="s">
        <v>95</v>
      </c>
      <c r="R167" s="5" t="s">
        <v>95</v>
      </c>
      <c r="S167" s="5" t="s">
        <v>172</v>
      </c>
      <c r="T167" s="8">
        <v>1.2</v>
      </c>
      <c r="U167" s="5"/>
      <c r="V167" s="5" t="s">
        <v>1115</v>
      </c>
      <c r="W167" s="5" t="s">
        <v>124</v>
      </c>
      <c r="X167" s="5" t="s">
        <v>100</v>
      </c>
      <c r="Y167" s="5" t="s">
        <v>1116</v>
      </c>
      <c r="Z167" s="5" t="s">
        <v>1117</v>
      </c>
      <c r="AA167" s="6" t="s">
        <v>1118</v>
      </c>
    </row>
    <row r="168" spans="1:27" ht="20" customHeight="1" x14ac:dyDescent="0.2">
      <c r="A168" s="4" t="s">
        <v>86</v>
      </c>
      <c r="B168" s="5" t="s">
        <v>87</v>
      </c>
      <c r="C168" s="6" t="s">
        <v>1119</v>
      </c>
      <c r="D168" s="6" t="s">
        <v>1120</v>
      </c>
      <c r="E168" s="6" t="s">
        <v>1063</v>
      </c>
      <c r="F168" s="10">
        <v>3</v>
      </c>
      <c r="G168" s="5" t="s">
        <v>1121</v>
      </c>
      <c r="H168" s="5" t="s">
        <v>92</v>
      </c>
      <c r="I168" s="5" t="s">
        <v>121</v>
      </c>
      <c r="J168" s="5" t="s">
        <v>95</v>
      </c>
      <c r="K168" s="8">
        <v>1</v>
      </c>
      <c r="L168" s="8">
        <v>1</v>
      </c>
      <c r="M168" s="8">
        <v>0</v>
      </c>
      <c r="N168" s="8">
        <v>3</v>
      </c>
      <c r="O168" s="8">
        <v>1</v>
      </c>
      <c r="P168" s="5" t="s">
        <v>94</v>
      </c>
      <c r="Q168" s="5" t="s">
        <v>95</v>
      </c>
      <c r="R168" s="5" t="s">
        <v>95</v>
      </c>
      <c r="S168" s="5" t="s">
        <v>96</v>
      </c>
      <c r="T168" s="8">
        <v>1.2</v>
      </c>
      <c r="U168" s="5"/>
      <c r="V168" s="5" t="s">
        <v>137</v>
      </c>
      <c r="W168" s="5" t="s">
        <v>124</v>
      </c>
      <c r="X168" s="5" t="s">
        <v>100</v>
      </c>
      <c r="Y168" s="5" t="s">
        <v>1110</v>
      </c>
      <c r="Z168" s="5" t="s">
        <v>1122</v>
      </c>
      <c r="AA168" s="6" t="s">
        <v>1123</v>
      </c>
    </row>
    <row r="169" spans="1:27" ht="20" customHeight="1" x14ac:dyDescent="0.2">
      <c r="A169" s="4" t="s">
        <v>86</v>
      </c>
      <c r="B169" s="5" t="s">
        <v>87</v>
      </c>
      <c r="C169" s="6" t="s">
        <v>1124</v>
      </c>
      <c r="D169" s="6" t="s">
        <v>1125</v>
      </c>
      <c r="E169" s="6" t="s">
        <v>1063</v>
      </c>
      <c r="F169" s="10">
        <v>3</v>
      </c>
      <c r="G169" s="5" t="s">
        <v>1126</v>
      </c>
      <c r="H169" s="5" t="s">
        <v>120</v>
      </c>
      <c r="I169" s="5" t="s">
        <v>121</v>
      </c>
      <c r="J169" s="5" t="s">
        <v>95</v>
      </c>
      <c r="K169" s="8">
        <v>1</v>
      </c>
      <c r="L169" s="8">
        <v>1</v>
      </c>
      <c r="M169" s="8">
        <v>0</v>
      </c>
      <c r="N169" s="8">
        <v>3</v>
      </c>
      <c r="O169" s="8">
        <v>1</v>
      </c>
      <c r="P169" s="5" t="s">
        <v>95</v>
      </c>
      <c r="Q169" s="5" t="s">
        <v>95</v>
      </c>
      <c r="R169" s="5" t="s">
        <v>95</v>
      </c>
      <c r="S169" s="5" t="s">
        <v>172</v>
      </c>
      <c r="T169" s="8">
        <v>1.2</v>
      </c>
      <c r="U169" s="5"/>
      <c r="V169" s="5" t="s">
        <v>1127</v>
      </c>
      <c r="W169" s="5" t="s">
        <v>124</v>
      </c>
      <c r="X169" s="5" t="s">
        <v>100</v>
      </c>
      <c r="Y169" s="5" t="s">
        <v>1128</v>
      </c>
      <c r="Z169" s="5" t="s">
        <v>451</v>
      </c>
      <c r="AA169" s="6" t="s">
        <v>1129</v>
      </c>
    </row>
    <row r="170" spans="1:27" ht="20" customHeight="1" x14ac:dyDescent="0.2">
      <c r="A170" s="4" t="s">
        <v>86</v>
      </c>
      <c r="B170" s="5" t="s">
        <v>87</v>
      </c>
      <c r="C170" s="6" t="s">
        <v>1130</v>
      </c>
      <c r="D170" s="6" t="s">
        <v>1131</v>
      </c>
      <c r="E170" s="6" t="s">
        <v>1063</v>
      </c>
      <c r="F170" s="10">
        <v>3</v>
      </c>
      <c r="G170" s="5" t="s">
        <v>1132</v>
      </c>
      <c r="H170" s="5" t="s">
        <v>120</v>
      </c>
      <c r="I170" s="5" t="s">
        <v>121</v>
      </c>
      <c r="J170" s="5" t="s">
        <v>95</v>
      </c>
      <c r="K170" s="8">
        <v>1</v>
      </c>
      <c r="L170" s="8">
        <v>1</v>
      </c>
      <c r="M170" s="8">
        <v>0</v>
      </c>
      <c r="N170" s="8">
        <v>3</v>
      </c>
      <c r="O170" s="8">
        <v>1</v>
      </c>
      <c r="P170" s="5" t="s">
        <v>95</v>
      </c>
      <c r="Q170" s="5" t="s">
        <v>95</v>
      </c>
      <c r="R170" s="5" t="s">
        <v>95</v>
      </c>
      <c r="S170" s="5" t="s">
        <v>232</v>
      </c>
      <c r="T170" s="8">
        <v>1.2</v>
      </c>
      <c r="U170" s="5"/>
      <c r="V170" s="5" t="s">
        <v>1133</v>
      </c>
      <c r="W170" s="5" t="s">
        <v>124</v>
      </c>
      <c r="X170" s="5" t="s">
        <v>100</v>
      </c>
      <c r="Y170" s="5" t="s">
        <v>1082</v>
      </c>
      <c r="Z170" s="5" t="s">
        <v>364</v>
      </c>
      <c r="AA170" s="6" t="s">
        <v>1134</v>
      </c>
    </row>
    <row r="171" spans="1:27" ht="20" customHeight="1" x14ac:dyDescent="0.2">
      <c r="A171" s="4" t="s">
        <v>86</v>
      </c>
      <c r="B171" s="5" t="s">
        <v>87</v>
      </c>
      <c r="C171" s="6" t="s">
        <v>1135</v>
      </c>
      <c r="D171" s="6" t="s">
        <v>1136</v>
      </c>
      <c r="E171" s="6" t="s">
        <v>1063</v>
      </c>
      <c r="F171" s="10">
        <v>3</v>
      </c>
      <c r="G171" s="5" t="s">
        <v>1137</v>
      </c>
      <c r="H171" s="5" t="s">
        <v>92</v>
      </c>
      <c r="I171" s="5" t="s">
        <v>121</v>
      </c>
      <c r="J171" s="5" t="s">
        <v>95</v>
      </c>
      <c r="K171" s="8">
        <v>1</v>
      </c>
      <c r="L171" s="8">
        <v>1</v>
      </c>
      <c r="M171" s="8">
        <v>0</v>
      </c>
      <c r="N171" s="8">
        <v>3</v>
      </c>
      <c r="O171" s="8">
        <v>1</v>
      </c>
      <c r="P171" s="5" t="s">
        <v>94</v>
      </c>
      <c r="Q171" s="5" t="s">
        <v>95</v>
      </c>
      <c r="R171" s="5" t="s">
        <v>95</v>
      </c>
      <c r="S171" s="5" t="s">
        <v>96</v>
      </c>
      <c r="T171" s="8">
        <v>1.2</v>
      </c>
      <c r="U171" s="5"/>
      <c r="V171" s="5" t="s">
        <v>137</v>
      </c>
      <c r="W171" s="5" t="s">
        <v>124</v>
      </c>
      <c r="X171" s="5" t="s">
        <v>100</v>
      </c>
      <c r="Y171" s="5" t="s">
        <v>1110</v>
      </c>
      <c r="Z171" s="5" t="s">
        <v>490</v>
      </c>
      <c r="AA171" s="6" t="s">
        <v>1138</v>
      </c>
    </row>
    <row r="172" spans="1:27" ht="20" customHeight="1" x14ac:dyDescent="0.2">
      <c r="A172" s="4" t="s">
        <v>86</v>
      </c>
      <c r="B172" s="5" t="s">
        <v>87</v>
      </c>
      <c r="C172" s="6" t="s">
        <v>1139</v>
      </c>
      <c r="D172" s="6" t="s">
        <v>1140</v>
      </c>
      <c r="E172" s="6" t="s">
        <v>1063</v>
      </c>
      <c r="F172" s="10">
        <v>3</v>
      </c>
      <c r="G172" s="5" t="s">
        <v>1141</v>
      </c>
      <c r="H172" s="5" t="s">
        <v>120</v>
      </c>
      <c r="I172" s="5" t="s">
        <v>121</v>
      </c>
      <c r="J172" s="5" t="s">
        <v>95</v>
      </c>
      <c r="K172" s="8">
        <v>1</v>
      </c>
      <c r="L172" s="8">
        <v>1</v>
      </c>
      <c r="M172" s="8">
        <v>0</v>
      </c>
      <c r="N172" s="8">
        <v>3</v>
      </c>
      <c r="O172" s="8">
        <v>1</v>
      </c>
      <c r="P172" s="5" t="s">
        <v>95</v>
      </c>
      <c r="Q172" s="5" t="s">
        <v>95</v>
      </c>
      <c r="R172" s="5" t="s">
        <v>95</v>
      </c>
      <c r="S172" s="5" t="s">
        <v>172</v>
      </c>
      <c r="T172" s="8">
        <v>1.2</v>
      </c>
      <c r="U172" s="5"/>
      <c r="V172" s="5" t="s">
        <v>137</v>
      </c>
      <c r="W172" s="5" t="s">
        <v>124</v>
      </c>
      <c r="X172" s="5" t="s">
        <v>100</v>
      </c>
      <c r="Y172" s="5" t="s">
        <v>1128</v>
      </c>
      <c r="Z172" s="5" t="s">
        <v>1142</v>
      </c>
      <c r="AA172" s="6" t="s">
        <v>1143</v>
      </c>
    </row>
    <row r="173" spans="1:27" ht="20" customHeight="1" x14ac:dyDescent="0.2">
      <c r="A173" s="4" t="s">
        <v>86</v>
      </c>
      <c r="B173" s="5" t="s">
        <v>87</v>
      </c>
      <c r="C173" s="6" t="s">
        <v>1144</v>
      </c>
      <c r="D173" s="6" t="s">
        <v>1145</v>
      </c>
      <c r="E173" s="6" t="s">
        <v>1146</v>
      </c>
      <c r="F173" s="7">
        <v>1</v>
      </c>
      <c r="G173" s="5" t="s">
        <v>1147</v>
      </c>
      <c r="H173" s="5" t="s">
        <v>107</v>
      </c>
      <c r="I173" s="5" t="s">
        <v>1148</v>
      </c>
      <c r="J173" s="5" t="s">
        <v>95</v>
      </c>
      <c r="K173" s="8">
        <v>5</v>
      </c>
      <c r="L173" s="8">
        <v>5</v>
      </c>
      <c r="M173" s="8">
        <v>4</v>
      </c>
      <c r="N173" s="8">
        <v>7</v>
      </c>
      <c r="O173" s="8">
        <v>3</v>
      </c>
      <c r="P173" s="5" t="s">
        <v>94</v>
      </c>
      <c r="Q173" s="5" t="s">
        <v>94</v>
      </c>
      <c r="R173" s="5" t="s">
        <v>95</v>
      </c>
      <c r="S173" s="5" t="s">
        <v>109</v>
      </c>
      <c r="T173" s="8">
        <v>1</v>
      </c>
      <c r="U173" s="5" t="s">
        <v>1149</v>
      </c>
      <c r="V173" s="5" t="s">
        <v>1150</v>
      </c>
      <c r="W173" s="5" t="s">
        <v>1151</v>
      </c>
      <c r="X173" s="5" t="s">
        <v>1152</v>
      </c>
      <c r="Y173" s="5" t="s">
        <v>1153</v>
      </c>
      <c r="Z173" s="5" t="s">
        <v>1154</v>
      </c>
      <c r="AA173" s="6" t="s">
        <v>1155</v>
      </c>
    </row>
    <row r="174" spans="1:27" ht="20" customHeight="1" x14ac:dyDescent="0.2">
      <c r="A174" s="4" t="s">
        <v>86</v>
      </c>
      <c r="B174" s="5" t="s">
        <v>87</v>
      </c>
      <c r="C174" s="6" t="s">
        <v>1156</v>
      </c>
      <c r="D174" s="6" t="s">
        <v>1157</v>
      </c>
      <c r="E174" s="6" t="s">
        <v>1146</v>
      </c>
      <c r="F174" s="9">
        <v>2</v>
      </c>
      <c r="G174" s="5" t="s">
        <v>1158</v>
      </c>
      <c r="H174" s="5" t="s">
        <v>107</v>
      </c>
      <c r="I174" s="5" t="s">
        <v>121</v>
      </c>
      <c r="J174" s="5" t="s">
        <v>95</v>
      </c>
      <c r="K174" s="8">
        <v>3</v>
      </c>
      <c r="L174" s="8">
        <v>3</v>
      </c>
      <c r="M174" s="8">
        <v>2</v>
      </c>
      <c r="N174" s="8">
        <v>5</v>
      </c>
      <c r="O174" s="8">
        <v>2</v>
      </c>
      <c r="P174" s="5" t="s">
        <v>94</v>
      </c>
      <c r="Q174" s="5" t="s">
        <v>95</v>
      </c>
      <c r="R174" s="5" t="s">
        <v>95</v>
      </c>
      <c r="S174" s="5" t="s">
        <v>109</v>
      </c>
      <c r="T174" s="8">
        <v>1</v>
      </c>
      <c r="U174" s="5"/>
      <c r="V174" s="5" t="s">
        <v>1159</v>
      </c>
      <c r="W174" s="5" t="s">
        <v>124</v>
      </c>
      <c r="X174" s="5" t="s">
        <v>1152</v>
      </c>
      <c r="Y174" s="5" t="s">
        <v>1160</v>
      </c>
      <c r="Z174" s="5" t="s">
        <v>1161</v>
      </c>
      <c r="AA174" s="6" t="s">
        <v>1162</v>
      </c>
    </row>
    <row r="175" spans="1:27" ht="20" customHeight="1" x14ac:dyDescent="0.2">
      <c r="A175" s="4" t="s">
        <v>86</v>
      </c>
      <c r="B175" s="5" t="s">
        <v>87</v>
      </c>
      <c r="C175" s="6" t="s">
        <v>1163</v>
      </c>
      <c r="D175" s="6" t="s">
        <v>1164</v>
      </c>
      <c r="E175" s="6" t="s">
        <v>1146</v>
      </c>
      <c r="F175" s="9">
        <v>2</v>
      </c>
      <c r="G175" s="5" t="s">
        <v>1165</v>
      </c>
      <c r="H175" s="5" t="s">
        <v>107</v>
      </c>
      <c r="I175" s="5" t="s">
        <v>121</v>
      </c>
      <c r="J175" s="5" t="s">
        <v>95</v>
      </c>
      <c r="K175" s="8">
        <v>3</v>
      </c>
      <c r="L175" s="8">
        <v>3</v>
      </c>
      <c r="M175" s="8">
        <v>2</v>
      </c>
      <c r="N175" s="8">
        <v>5</v>
      </c>
      <c r="O175" s="8">
        <v>2</v>
      </c>
      <c r="P175" s="5" t="s">
        <v>94</v>
      </c>
      <c r="Q175" s="5" t="s">
        <v>95</v>
      </c>
      <c r="R175" s="5" t="s">
        <v>95</v>
      </c>
      <c r="S175" s="5" t="s">
        <v>109</v>
      </c>
      <c r="T175" s="8">
        <v>1</v>
      </c>
      <c r="U175" s="5"/>
      <c r="V175" s="5" t="s">
        <v>137</v>
      </c>
      <c r="W175" s="5" t="s">
        <v>124</v>
      </c>
      <c r="X175" s="5" t="s">
        <v>1152</v>
      </c>
      <c r="Y175" s="5" t="s">
        <v>1160</v>
      </c>
      <c r="Z175" s="5" t="s">
        <v>1166</v>
      </c>
      <c r="AA175" s="6" t="s">
        <v>1167</v>
      </c>
    </row>
    <row r="176" spans="1:27" ht="20" customHeight="1" x14ac:dyDescent="0.2">
      <c r="A176" s="4" t="s">
        <v>86</v>
      </c>
      <c r="B176" s="5" t="s">
        <v>87</v>
      </c>
      <c r="C176" s="6" t="s">
        <v>1168</v>
      </c>
      <c r="D176" s="6" t="s">
        <v>1169</v>
      </c>
      <c r="E176" s="6" t="s">
        <v>1146</v>
      </c>
      <c r="F176" s="9">
        <v>2</v>
      </c>
      <c r="G176" s="5" t="s">
        <v>1170</v>
      </c>
      <c r="H176" s="5" t="s">
        <v>107</v>
      </c>
      <c r="I176" s="5" t="s">
        <v>121</v>
      </c>
      <c r="J176" s="5" t="s">
        <v>95</v>
      </c>
      <c r="K176" s="8">
        <v>3</v>
      </c>
      <c r="L176" s="8">
        <v>3</v>
      </c>
      <c r="M176" s="8">
        <v>2</v>
      </c>
      <c r="N176" s="8">
        <v>5</v>
      </c>
      <c r="O176" s="8">
        <v>2</v>
      </c>
      <c r="P176" s="5" t="s">
        <v>94</v>
      </c>
      <c r="Q176" s="5" t="s">
        <v>95</v>
      </c>
      <c r="R176" s="5" t="s">
        <v>95</v>
      </c>
      <c r="S176" s="5" t="s">
        <v>109</v>
      </c>
      <c r="T176" s="8">
        <v>1</v>
      </c>
      <c r="U176" s="5"/>
      <c r="V176" s="5" t="s">
        <v>1171</v>
      </c>
      <c r="W176" s="5" t="s">
        <v>1172</v>
      </c>
      <c r="X176" s="5" t="s">
        <v>1152</v>
      </c>
      <c r="Y176" s="5" t="s">
        <v>1173</v>
      </c>
      <c r="Z176" s="5" t="s">
        <v>1174</v>
      </c>
      <c r="AA176" s="6" t="s">
        <v>1175</v>
      </c>
    </row>
    <row r="177" spans="1:27" ht="20" customHeight="1" x14ac:dyDescent="0.2">
      <c r="A177" s="4" t="s">
        <v>86</v>
      </c>
      <c r="B177" s="5" t="s">
        <v>87</v>
      </c>
      <c r="C177" s="6" t="s">
        <v>1176</v>
      </c>
      <c r="D177" s="6" t="s">
        <v>1177</v>
      </c>
      <c r="E177" s="6" t="s">
        <v>1146</v>
      </c>
      <c r="F177" s="9">
        <v>2</v>
      </c>
      <c r="G177" s="5" t="s">
        <v>1178</v>
      </c>
      <c r="H177" s="5" t="s">
        <v>107</v>
      </c>
      <c r="I177" s="5" t="s">
        <v>121</v>
      </c>
      <c r="J177" s="5" t="s">
        <v>95</v>
      </c>
      <c r="K177" s="8">
        <v>3</v>
      </c>
      <c r="L177" s="8">
        <v>3</v>
      </c>
      <c r="M177" s="8">
        <v>2</v>
      </c>
      <c r="N177" s="8">
        <v>5</v>
      </c>
      <c r="O177" s="8">
        <v>2</v>
      </c>
      <c r="P177" s="5" t="s">
        <v>94</v>
      </c>
      <c r="Q177" s="5" t="s">
        <v>95</v>
      </c>
      <c r="R177" s="5" t="s">
        <v>95</v>
      </c>
      <c r="S177" s="5" t="s">
        <v>109</v>
      </c>
      <c r="T177" s="8">
        <v>1</v>
      </c>
      <c r="U177" s="5"/>
      <c r="V177" s="5" t="s">
        <v>137</v>
      </c>
      <c r="W177" s="5" t="s">
        <v>124</v>
      </c>
      <c r="X177" s="5" t="s">
        <v>1152</v>
      </c>
      <c r="Y177" s="5" t="s">
        <v>1160</v>
      </c>
      <c r="Z177" s="5" t="s">
        <v>1179</v>
      </c>
      <c r="AA177" s="6" t="s">
        <v>1180</v>
      </c>
    </row>
    <row r="178" spans="1:27" ht="20" customHeight="1" x14ac:dyDescent="0.2">
      <c r="A178" s="4" t="s">
        <v>86</v>
      </c>
      <c r="B178" s="5" t="s">
        <v>87</v>
      </c>
      <c r="C178" s="6" t="s">
        <v>1181</v>
      </c>
      <c r="D178" s="6" t="s">
        <v>1182</v>
      </c>
      <c r="E178" s="6" t="s">
        <v>1146</v>
      </c>
      <c r="F178" s="10">
        <v>3</v>
      </c>
      <c r="G178" s="5" t="s">
        <v>1183</v>
      </c>
      <c r="H178" s="5" t="s">
        <v>107</v>
      </c>
      <c r="I178" s="5" t="s">
        <v>121</v>
      </c>
      <c r="J178" s="5" t="s">
        <v>95</v>
      </c>
      <c r="K178" s="8">
        <v>1</v>
      </c>
      <c r="L178" s="8">
        <v>1</v>
      </c>
      <c r="M178" s="8">
        <v>0</v>
      </c>
      <c r="N178" s="8">
        <v>3</v>
      </c>
      <c r="O178" s="8">
        <v>1</v>
      </c>
      <c r="P178" s="5" t="s">
        <v>94</v>
      </c>
      <c r="Q178" s="5" t="s">
        <v>95</v>
      </c>
      <c r="R178" s="5" t="s">
        <v>95</v>
      </c>
      <c r="S178" s="5" t="s">
        <v>109</v>
      </c>
      <c r="T178" s="8">
        <v>1</v>
      </c>
      <c r="U178" s="5"/>
      <c r="V178" s="5" t="s">
        <v>1184</v>
      </c>
      <c r="W178" s="5" t="s">
        <v>124</v>
      </c>
      <c r="X178" s="5" t="s">
        <v>1152</v>
      </c>
      <c r="Y178" s="5" t="s">
        <v>1185</v>
      </c>
      <c r="Z178" s="5" t="s">
        <v>1186</v>
      </c>
      <c r="AA178" s="6" t="s">
        <v>1187</v>
      </c>
    </row>
    <row r="179" spans="1:27" ht="20" customHeight="1" x14ac:dyDescent="0.2">
      <c r="A179" s="4" t="s">
        <v>86</v>
      </c>
      <c r="B179" s="5" t="s">
        <v>87</v>
      </c>
      <c r="C179" s="6" t="s">
        <v>1188</v>
      </c>
      <c r="D179" s="6" t="s">
        <v>1189</v>
      </c>
      <c r="E179" s="6" t="s">
        <v>1146</v>
      </c>
      <c r="F179" s="10">
        <v>3</v>
      </c>
      <c r="G179" s="5" t="s">
        <v>1190</v>
      </c>
      <c r="H179" s="5" t="s">
        <v>107</v>
      </c>
      <c r="I179" s="5" t="s">
        <v>121</v>
      </c>
      <c r="J179" s="5" t="s">
        <v>95</v>
      </c>
      <c r="K179" s="8">
        <v>1</v>
      </c>
      <c r="L179" s="8">
        <v>1</v>
      </c>
      <c r="M179" s="8">
        <v>0</v>
      </c>
      <c r="N179" s="8">
        <v>3</v>
      </c>
      <c r="O179" s="8">
        <v>1</v>
      </c>
      <c r="P179" s="5" t="s">
        <v>94</v>
      </c>
      <c r="Q179" s="5" t="s">
        <v>95</v>
      </c>
      <c r="R179" s="5" t="s">
        <v>95</v>
      </c>
      <c r="S179" s="5" t="s">
        <v>109</v>
      </c>
      <c r="T179" s="8">
        <v>1</v>
      </c>
      <c r="U179" s="5"/>
      <c r="V179" s="5" t="s">
        <v>1159</v>
      </c>
      <c r="W179" s="5" t="s">
        <v>124</v>
      </c>
      <c r="X179" s="5" t="s">
        <v>1152</v>
      </c>
      <c r="Y179" s="5" t="s">
        <v>1191</v>
      </c>
      <c r="Z179" s="5" t="s">
        <v>1192</v>
      </c>
      <c r="AA179" s="6" t="s">
        <v>1193</v>
      </c>
    </row>
    <row r="180" spans="1:27" ht="20" customHeight="1" x14ac:dyDescent="0.2">
      <c r="A180" s="4" t="s">
        <v>86</v>
      </c>
      <c r="B180" s="5" t="s">
        <v>87</v>
      </c>
      <c r="C180" s="6" t="s">
        <v>1194</v>
      </c>
      <c r="D180" s="6" t="s">
        <v>1195</v>
      </c>
      <c r="E180" s="6" t="s">
        <v>1146</v>
      </c>
      <c r="F180" s="10">
        <v>3</v>
      </c>
      <c r="G180" s="5" t="s">
        <v>1196</v>
      </c>
      <c r="H180" s="5" t="s">
        <v>107</v>
      </c>
      <c r="I180" s="5" t="s">
        <v>121</v>
      </c>
      <c r="J180" s="5" t="s">
        <v>95</v>
      </c>
      <c r="K180" s="8">
        <v>1</v>
      </c>
      <c r="L180" s="8">
        <v>1</v>
      </c>
      <c r="M180" s="8">
        <v>0</v>
      </c>
      <c r="N180" s="8">
        <v>3</v>
      </c>
      <c r="O180" s="8">
        <v>1</v>
      </c>
      <c r="P180" s="5" t="s">
        <v>94</v>
      </c>
      <c r="Q180" s="5" t="s">
        <v>95</v>
      </c>
      <c r="R180" s="5" t="s">
        <v>95</v>
      </c>
      <c r="S180" s="5" t="s">
        <v>109</v>
      </c>
      <c r="T180" s="8">
        <v>1</v>
      </c>
      <c r="U180" s="5"/>
      <c r="V180" s="5" t="s">
        <v>1197</v>
      </c>
      <c r="W180" s="5" t="s">
        <v>124</v>
      </c>
      <c r="X180" s="5" t="s">
        <v>1152</v>
      </c>
      <c r="Y180" s="5" t="s">
        <v>1160</v>
      </c>
      <c r="Z180" s="5" t="s">
        <v>490</v>
      </c>
      <c r="AA180" s="6" t="s">
        <v>1198</v>
      </c>
    </row>
    <row r="181" spans="1:27" ht="20" customHeight="1" x14ac:dyDescent="0.2">
      <c r="A181" s="4" t="s">
        <v>86</v>
      </c>
      <c r="B181" s="5" t="s">
        <v>87</v>
      </c>
      <c r="C181" s="6" t="s">
        <v>1199</v>
      </c>
      <c r="D181" s="6" t="s">
        <v>1200</v>
      </c>
      <c r="E181" s="6" t="s">
        <v>1146</v>
      </c>
      <c r="F181" s="10">
        <v>3</v>
      </c>
      <c r="G181" s="5" t="s">
        <v>1201</v>
      </c>
      <c r="H181" s="5" t="s">
        <v>107</v>
      </c>
      <c r="I181" s="5" t="s">
        <v>121</v>
      </c>
      <c r="J181" s="5" t="s">
        <v>95</v>
      </c>
      <c r="K181" s="8">
        <v>1</v>
      </c>
      <c r="L181" s="8">
        <v>1</v>
      </c>
      <c r="M181" s="8">
        <v>0</v>
      </c>
      <c r="N181" s="8">
        <v>3</v>
      </c>
      <c r="O181" s="8">
        <v>1</v>
      </c>
      <c r="P181" s="5" t="s">
        <v>94</v>
      </c>
      <c r="Q181" s="5" t="s">
        <v>95</v>
      </c>
      <c r="R181" s="5" t="s">
        <v>95</v>
      </c>
      <c r="S181" s="5" t="s">
        <v>109</v>
      </c>
      <c r="T181" s="8">
        <v>1</v>
      </c>
      <c r="U181" s="5"/>
      <c r="V181" s="5" t="s">
        <v>1202</v>
      </c>
      <c r="W181" s="5" t="s">
        <v>124</v>
      </c>
      <c r="X181" s="5" t="s">
        <v>1152</v>
      </c>
      <c r="Y181" s="5" t="s">
        <v>1160</v>
      </c>
      <c r="Z181" s="5" t="s">
        <v>1203</v>
      </c>
      <c r="AA181" s="6" t="s">
        <v>1204</v>
      </c>
    </row>
    <row r="182" spans="1:27" ht="20" customHeight="1" x14ac:dyDescent="0.2">
      <c r="A182" s="4" t="s">
        <v>86</v>
      </c>
      <c r="B182" s="5" t="s">
        <v>87</v>
      </c>
      <c r="C182" s="6" t="s">
        <v>1205</v>
      </c>
      <c r="D182" s="6" t="s">
        <v>1206</v>
      </c>
      <c r="E182" s="6" t="s">
        <v>1146</v>
      </c>
      <c r="F182" s="10">
        <v>3</v>
      </c>
      <c r="G182" s="5" t="s">
        <v>1207</v>
      </c>
      <c r="H182" s="5" t="s">
        <v>107</v>
      </c>
      <c r="I182" s="5" t="s">
        <v>121</v>
      </c>
      <c r="J182" s="5" t="s">
        <v>95</v>
      </c>
      <c r="K182" s="8">
        <v>1</v>
      </c>
      <c r="L182" s="8">
        <v>1</v>
      </c>
      <c r="M182" s="8">
        <v>0</v>
      </c>
      <c r="N182" s="8">
        <v>3</v>
      </c>
      <c r="O182" s="8">
        <v>1</v>
      </c>
      <c r="P182" s="5" t="s">
        <v>94</v>
      </c>
      <c r="Q182" s="5" t="s">
        <v>95</v>
      </c>
      <c r="R182" s="5" t="s">
        <v>95</v>
      </c>
      <c r="S182" s="5" t="s">
        <v>109</v>
      </c>
      <c r="T182" s="8">
        <v>1</v>
      </c>
      <c r="U182" s="5"/>
      <c r="V182" s="5" t="s">
        <v>1208</v>
      </c>
      <c r="W182" s="5" t="s">
        <v>124</v>
      </c>
      <c r="X182" s="5" t="s">
        <v>1152</v>
      </c>
      <c r="Y182" s="5" t="s">
        <v>1209</v>
      </c>
      <c r="Z182" s="5" t="s">
        <v>1210</v>
      </c>
      <c r="AA182" s="6" t="s">
        <v>1211</v>
      </c>
    </row>
    <row r="183" spans="1:27" ht="20" customHeight="1" x14ac:dyDescent="0.2">
      <c r="A183" s="4" t="s">
        <v>86</v>
      </c>
      <c r="B183" s="5" t="s">
        <v>87</v>
      </c>
      <c r="C183" s="6" t="s">
        <v>1212</v>
      </c>
      <c r="D183" s="6" t="s">
        <v>1213</v>
      </c>
      <c r="E183" s="6" t="s">
        <v>1146</v>
      </c>
      <c r="F183" s="10">
        <v>3</v>
      </c>
      <c r="G183" s="5" t="s">
        <v>1158</v>
      </c>
      <c r="H183" s="5" t="s">
        <v>107</v>
      </c>
      <c r="I183" s="5" t="s">
        <v>121</v>
      </c>
      <c r="J183" s="5" t="s">
        <v>95</v>
      </c>
      <c r="K183" s="8">
        <v>1</v>
      </c>
      <c r="L183" s="8">
        <v>1</v>
      </c>
      <c r="M183" s="8">
        <v>0</v>
      </c>
      <c r="N183" s="8">
        <v>3</v>
      </c>
      <c r="O183" s="8">
        <v>1</v>
      </c>
      <c r="P183" s="5" t="s">
        <v>94</v>
      </c>
      <c r="Q183" s="5" t="s">
        <v>95</v>
      </c>
      <c r="R183" s="5" t="s">
        <v>95</v>
      </c>
      <c r="S183" s="5" t="s">
        <v>109</v>
      </c>
      <c r="T183" s="8">
        <v>1</v>
      </c>
      <c r="U183" s="5"/>
      <c r="V183" s="5" t="s">
        <v>137</v>
      </c>
      <c r="W183" s="5" t="s">
        <v>124</v>
      </c>
      <c r="X183" s="5" t="s">
        <v>1152</v>
      </c>
      <c r="Y183" s="5" t="s">
        <v>1185</v>
      </c>
      <c r="Z183" s="5" t="s">
        <v>1214</v>
      </c>
      <c r="AA183" s="6" t="s">
        <v>1215</v>
      </c>
    </row>
    <row r="184" spans="1:27" ht="20" customHeight="1" x14ac:dyDescent="0.2">
      <c r="A184" s="4" t="s">
        <v>86</v>
      </c>
      <c r="B184" s="5" t="s">
        <v>87</v>
      </c>
      <c r="C184" s="6" t="s">
        <v>1216</v>
      </c>
      <c r="D184" s="6" t="s">
        <v>1217</v>
      </c>
      <c r="E184" s="6" t="s">
        <v>1146</v>
      </c>
      <c r="F184" s="10">
        <v>3</v>
      </c>
      <c r="G184" s="5" t="s">
        <v>1218</v>
      </c>
      <c r="H184" s="5" t="s">
        <v>107</v>
      </c>
      <c r="I184" s="5" t="s">
        <v>121</v>
      </c>
      <c r="J184" s="5" t="s">
        <v>95</v>
      </c>
      <c r="K184" s="8">
        <v>1</v>
      </c>
      <c r="L184" s="8">
        <v>1</v>
      </c>
      <c r="M184" s="8">
        <v>0</v>
      </c>
      <c r="N184" s="8">
        <v>3</v>
      </c>
      <c r="O184" s="8">
        <v>1</v>
      </c>
      <c r="P184" s="5" t="s">
        <v>95</v>
      </c>
      <c r="Q184" s="5" t="s">
        <v>95</v>
      </c>
      <c r="R184" s="5" t="s">
        <v>95</v>
      </c>
      <c r="S184" s="5" t="s">
        <v>109</v>
      </c>
      <c r="T184" s="8">
        <v>1</v>
      </c>
      <c r="U184" s="5"/>
      <c r="V184" s="5" t="s">
        <v>137</v>
      </c>
      <c r="W184" s="5" t="s">
        <v>124</v>
      </c>
      <c r="X184" s="5" t="s">
        <v>1152</v>
      </c>
      <c r="Y184" s="5" t="s">
        <v>1219</v>
      </c>
      <c r="Z184" s="5" t="s">
        <v>1220</v>
      </c>
      <c r="AA184" s="6" t="s">
        <v>1221</v>
      </c>
    </row>
    <row r="185" spans="1:27" ht="20" customHeight="1" x14ac:dyDescent="0.2">
      <c r="A185" s="4" t="s">
        <v>86</v>
      </c>
      <c r="B185" s="5" t="s">
        <v>87</v>
      </c>
      <c r="C185" s="6" t="s">
        <v>1222</v>
      </c>
      <c r="D185" s="6" t="s">
        <v>1223</v>
      </c>
      <c r="E185" s="6" t="s">
        <v>1146</v>
      </c>
      <c r="F185" s="10">
        <v>3</v>
      </c>
      <c r="G185" s="5" t="s">
        <v>1224</v>
      </c>
      <c r="H185" s="5" t="s">
        <v>107</v>
      </c>
      <c r="I185" s="5" t="s">
        <v>121</v>
      </c>
      <c r="J185" s="5" t="s">
        <v>95</v>
      </c>
      <c r="K185" s="8">
        <v>1</v>
      </c>
      <c r="L185" s="8">
        <v>1</v>
      </c>
      <c r="M185" s="8">
        <v>0</v>
      </c>
      <c r="N185" s="8">
        <v>3</v>
      </c>
      <c r="O185" s="8">
        <v>1</v>
      </c>
      <c r="P185" s="5" t="s">
        <v>94</v>
      </c>
      <c r="Q185" s="5" t="s">
        <v>95</v>
      </c>
      <c r="R185" s="5" t="s">
        <v>95</v>
      </c>
      <c r="S185" s="5" t="s">
        <v>109</v>
      </c>
      <c r="T185" s="8">
        <v>1</v>
      </c>
      <c r="U185" s="5"/>
      <c r="V185" s="5" t="s">
        <v>137</v>
      </c>
      <c r="W185" s="5" t="s">
        <v>124</v>
      </c>
      <c r="X185" s="5" t="s">
        <v>1152</v>
      </c>
      <c r="Y185" s="5" t="s">
        <v>1160</v>
      </c>
      <c r="Z185" s="5" t="s">
        <v>1225</v>
      </c>
      <c r="AA185" s="6" t="s">
        <v>1226</v>
      </c>
    </row>
    <row r="186" spans="1:27" ht="20" customHeight="1" x14ac:dyDescent="0.2">
      <c r="A186" s="4" t="s">
        <v>86</v>
      </c>
      <c r="B186" s="5" t="s">
        <v>87</v>
      </c>
      <c r="C186" s="6" t="s">
        <v>1227</v>
      </c>
      <c r="D186" s="6" t="s">
        <v>1228</v>
      </c>
      <c r="E186" s="6" t="s">
        <v>1146</v>
      </c>
      <c r="F186" s="10">
        <v>3</v>
      </c>
      <c r="G186" s="5" t="s">
        <v>1229</v>
      </c>
      <c r="H186" s="5" t="s">
        <v>107</v>
      </c>
      <c r="I186" s="5" t="s">
        <v>121</v>
      </c>
      <c r="J186" s="5" t="s">
        <v>95</v>
      </c>
      <c r="K186" s="8">
        <v>1</v>
      </c>
      <c r="L186" s="8">
        <v>1</v>
      </c>
      <c r="M186" s="8">
        <v>0</v>
      </c>
      <c r="N186" s="8">
        <v>3</v>
      </c>
      <c r="O186" s="8">
        <v>1</v>
      </c>
      <c r="P186" s="5" t="s">
        <v>94</v>
      </c>
      <c r="Q186" s="5" t="s">
        <v>95</v>
      </c>
      <c r="R186" s="5" t="s">
        <v>95</v>
      </c>
      <c r="S186" s="5" t="s">
        <v>109</v>
      </c>
      <c r="T186" s="8">
        <v>1</v>
      </c>
      <c r="U186" s="5"/>
      <c r="V186" s="5" t="s">
        <v>137</v>
      </c>
      <c r="W186" s="5" t="s">
        <v>124</v>
      </c>
      <c r="X186" s="5" t="s">
        <v>1152</v>
      </c>
      <c r="Y186" s="5" t="s">
        <v>1160</v>
      </c>
      <c r="Z186" s="5" t="s">
        <v>1230</v>
      </c>
      <c r="AA186" s="6" t="s">
        <v>1231</v>
      </c>
    </row>
    <row r="187" spans="1:27" ht="20" customHeight="1" x14ac:dyDescent="0.2">
      <c r="A187" s="4" t="s">
        <v>86</v>
      </c>
      <c r="B187" s="5" t="s">
        <v>87</v>
      </c>
      <c r="C187" s="6" t="s">
        <v>1232</v>
      </c>
      <c r="D187" s="6" t="s">
        <v>1233</v>
      </c>
      <c r="E187" s="6" t="s">
        <v>1146</v>
      </c>
      <c r="F187" s="10">
        <v>3</v>
      </c>
      <c r="G187" s="5" t="s">
        <v>1234</v>
      </c>
      <c r="H187" s="5" t="s">
        <v>107</v>
      </c>
      <c r="I187" s="5" t="s">
        <v>121</v>
      </c>
      <c r="J187" s="5" t="s">
        <v>95</v>
      </c>
      <c r="K187" s="8">
        <v>1</v>
      </c>
      <c r="L187" s="8">
        <v>1</v>
      </c>
      <c r="M187" s="8">
        <v>0</v>
      </c>
      <c r="N187" s="8">
        <v>3</v>
      </c>
      <c r="O187" s="8">
        <v>1</v>
      </c>
      <c r="P187" s="5" t="s">
        <v>95</v>
      </c>
      <c r="Q187" s="5" t="s">
        <v>95</v>
      </c>
      <c r="R187" s="5" t="s">
        <v>95</v>
      </c>
      <c r="S187" s="5" t="s">
        <v>109</v>
      </c>
      <c r="T187" s="8">
        <v>1</v>
      </c>
      <c r="U187" s="5"/>
      <c r="V187" s="5" t="s">
        <v>137</v>
      </c>
      <c r="W187" s="5" t="s">
        <v>124</v>
      </c>
      <c r="X187" s="5" t="s">
        <v>1152</v>
      </c>
      <c r="Y187" s="5" t="s">
        <v>1235</v>
      </c>
      <c r="Z187" s="5" t="s">
        <v>1236</v>
      </c>
      <c r="AA187" s="6" t="s">
        <v>1237</v>
      </c>
    </row>
    <row r="188" spans="1:27" ht="20" customHeight="1" x14ac:dyDescent="0.2">
      <c r="A188" s="4" t="s">
        <v>86</v>
      </c>
      <c r="B188" s="5" t="s">
        <v>87</v>
      </c>
      <c r="C188" s="6" t="s">
        <v>1238</v>
      </c>
      <c r="D188" s="6" t="s">
        <v>1239</v>
      </c>
      <c r="E188" s="6" t="s">
        <v>1146</v>
      </c>
      <c r="F188" s="10">
        <v>3</v>
      </c>
      <c r="G188" s="5" t="s">
        <v>1240</v>
      </c>
      <c r="H188" s="5" t="s">
        <v>107</v>
      </c>
      <c r="I188" s="5" t="s">
        <v>121</v>
      </c>
      <c r="J188" s="5" t="s">
        <v>95</v>
      </c>
      <c r="K188" s="8">
        <v>1</v>
      </c>
      <c r="L188" s="8">
        <v>1</v>
      </c>
      <c r="M188" s="8">
        <v>0</v>
      </c>
      <c r="N188" s="8">
        <v>3</v>
      </c>
      <c r="O188" s="8">
        <v>1</v>
      </c>
      <c r="P188" s="5" t="s">
        <v>94</v>
      </c>
      <c r="Q188" s="5" t="s">
        <v>95</v>
      </c>
      <c r="R188" s="5" t="s">
        <v>95</v>
      </c>
      <c r="S188" s="5" t="s">
        <v>109</v>
      </c>
      <c r="T188" s="8">
        <v>1</v>
      </c>
      <c r="U188" s="5"/>
      <c r="V188" s="5" t="s">
        <v>137</v>
      </c>
      <c r="W188" s="5" t="s">
        <v>124</v>
      </c>
      <c r="X188" s="5" t="s">
        <v>1152</v>
      </c>
      <c r="Y188" s="5" t="s">
        <v>1241</v>
      </c>
      <c r="Z188" s="5" t="s">
        <v>1242</v>
      </c>
      <c r="AA188" s="6" t="s">
        <v>1243</v>
      </c>
    </row>
    <row r="189" spans="1:27" ht="20" customHeight="1" x14ac:dyDescent="0.2">
      <c r="A189" s="4" t="s">
        <v>86</v>
      </c>
      <c r="B189" s="5" t="s">
        <v>87</v>
      </c>
      <c r="C189" s="6" t="s">
        <v>1244</v>
      </c>
      <c r="D189" s="6" t="s">
        <v>1245</v>
      </c>
      <c r="E189" s="6" t="s">
        <v>1146</v>
      </c>
      <c r="F189" s="10">
        <v>3</v>
      </c>
      <c r="G189" s="5" t="s">
        <v>1246</v>
      </c>
      <c r="H189" s="5" t="s">
        <v>107</v>
      </c>
      <c r="I189" s="5" t="s">
        <v>121</v>
      </c>
      <c r="J189" s="5" t="s">
        <v>95</v>
      </c>
      <c r="K189" s="8">
        <v>1</v>
      </c>
      <c r="L189" s="8">
        <v>1</v>
      </c>
      <c r="M189" s="8">
        <v>0</v>
      </c>
      <c r="N189" s="8">
        <v>3</v>
      </c>
      <c r="O189" s="8">
        <v>1</v>
      </c>
      <c r="P189" s="5" t="s">
        <v>95</v>
      </c>
      <c r="Q189" s="5" t="s">
        <v>95</v>
      </c>
      <c r="R189" s="5" t="s">
        <v>95</v>
      </c>
      <c r="S189" s="5" t="s">
        <v>109</v>
      </c>
      <c r="T189" s="8">
        <v>1</v>
      </c>
      <c r="U189" s="5"/>
      <c r="V189" s="5" t="s">
        <v>137</v>
      </c>
      <c r="W189" s="5" t="s">
        <v>124</v>
      </c>
      <c r="X189" s="5" t="s">
        <v>1152</v>
      </c>
      <c r="Y189" s="5" t="s">
        <v>1247</v>
      </c>
      <c r="Z189" s="5" t="s">
        <v>1248</v>
      </c>
      <c r="AA189" s="6" t="s">
        <v>1249</v>
      </c>
    </row>
    <row r="190" spans="1:27" ht="20" customHeight="1" x14ac:dyDescent="0.2">
      <c r="A190" s="4" t="s">
        <v>86</v>
      </c>
      <c r="B190" s="5" t="s">
        <v>87</v>
      </c>
      <c r="C190" s="6" t="s">
        <v>1250</v>
      </c>
      <c r="D190" s="6" t="s">
        <v>1251</v>
      </c>
      <c r="E190" s="6" t="s">
        <v>1146</v>
      </c>
      <c r="F190" s="10">
        <v>3</v>
      </c>
      <c r="G190" s="5" t="s">
        <v>1252</v>
      </c>
      <c r="H190" s="5" t="s">
        <v>107</v>
      </c>
      <c r="I190" s="5" t="s">
        <v>121</v>
      </c>
      <c r="J190" s="5" t="s">
        <v>95</v>
      </c>
      <c r="K190" s="8">
        <v>1</v>
      </c>
      <c r="L190" s="8">
        <v>1</v>
      </c>
      <c r="M190" s="8">
        <v>0</v>
      </c>
      <c r="N190" s="8">
        <v>3</v>
      </c>
      <c r="O190" s="8">
        <v>1</v>
      </c>
      <c r="P190" s="5" t="s">
        <v>95</v>
      </c>
      <c r="Q190" s="5" t="s">
        <v>95</v>
      </c>
      <c r="R190" s="5" t="s">
        <v>95</v>
      </c>
      <c r="S190" s="5" t="s">
        <v>109</v>
      </c>
      <c r="T190" s="8">
        <v>1</v>
      </c>
      <c r="U190" s="5"/>
      <c r="V190" s="5" t="s">
        <v>137</v>
      </c>
      <c r="W190" s="5" t="s">
        <v>124</v>
      </c>
      <c r="X190" s="5" t="s">
        <v>1152</v>
      </c>
      <c r="Y190" s="5" t="s">
        <v>1253</v>
      </c>
      <c r="Z190" s="5" t="s">
        <v>364</v>
      </c>
      <c r="AA190" s="6" t="s">
        <v>1254</v>
      </c>
    </row>
  </sheetData>
  <mergeCells count="6">
    <mergeCell ref="A1:B1"/>
    <mergeCell ref="V1:AA1"/>
    <mergeCell ref="P1:U1"/>
    <mergeCell ref="K1:O1"/>
    <mergeCell ref="C1:F1"/>
    <mergeCell ref="G1:J1"/>
  </mergeCells>
  <dataValidations count="4">
    <dataValidation type="list" sqref="A3:A190" xr:uid="{00000000-0002-0000-0100-000000000000}">
      <formula1>"STUB,PARTIAL,COMPLETE"</formula1>
    </dataValidation>
    <dataValidation type="list" allowBlank="1" sqref="S3:S190" xr:uid="{00000000-0002-0000-0100-000001000000}">
      <formula1>"plains,forest,mountains,coast,island,river,swamp,desert,tundra"</formula1>
    </dataValidation>
    <dataValidation type="list" allowBlank="1" sqref="X3:X190" xr:uid="{00000000-0002-0000-0100-000002000000}">
      <formula1>"faith_of_the_seven,old_gods,drowned_god,rhlor,unknown"</formula1>
    </dataValidation>
    <dataValidation type="list" allowBlank="1" sqref="P3:R190" xr:uid="{00000000-0002-0000-0100-000003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14"/>
  <sheetViews>
    <sheetView showGridLines="0" workbookViewId="0"/>
  </sheetViews>
  <sheetFormatPr baseColWidth="10" defaultColWidth="8.83203125" defaultRowHeight="15" x14ac:dyDescent="0.2"/>
  <cols>
    <col min="1" max="1" width="2" customWidth="1"/>
    <col min="2" max="2" width="22" customWidth="1"/>
    <col min="3" max="6" width="14" customWidth="1"/>
  </cols>
  <sheetData>
    <row r="2" spans="2:6" ht="28" customHeight="1" x14ac:dyDescent="0.2">
      <c r="B2" s="42" t="s">
        <v>1255</v>
      </c>
      <c r="C2" s="33"/>
      <c r="D2" s="33"/>
      <c r="E2" s="33"/>
      <c r="F2" s="33"/>
    </row>
    <row r="4" spans="2:6" ht="20" customHeight="1" x14ac:dyDescent="0.2">
      <c r="B4" s="11" t="s">
        <v>1256</v>
      </c>
      <c r="C4" s="11" t="s">
        <v>1257</v>
      </c>
      <c r="D4" s="11" t="s">
        <v>1258</v>
      </c>
      <c r="E4" s="11" t="s">
        <v>1259</v>
      </c>
      <c r="F4" s="11" t="s">
        <v>1260</v>
      </c>
    </row>
    <row r="5" spans="2:6" ht="20" customHeight="1" x14ac:dyDescent="0.2">
      <c r="B5" s="12" t="s">
        <v>90</v>
      </c>
      <c r="C5" s="13">
        <v>16</v>
      </c>
      <c r="D5" s="14">
        <f>COUNTIFS('🏰 Castle Data'!$E$3:$E$1000,B5,'🏰 Castle Data'!$A$3:$A$1000,"COMPLETE")</f>
        <v>0</v>
      </c>
      <c r="E5" s="15">
        <f>COUNTIFS('🏰 Castle Data'!$E$3:$E$1000,B5,'🏰 Castle Data'!$A$3:$A$1000,"PARTIAL")</f>
        <v>16</v>
      </c>
      <c r="F5" s="16">
        <f>COUNTIFS('🏰 Castle Data'!$E$3:$E$1000,B5,'🏰 Castle Data'!$A$3:$A$1000,"STUB")</f>
        <v>0</v>
      </c>
    </row>
    <row r="6" spans="2:6" ht="20" customHeight="1" x14ac:dyDescent="0.2">
      <c r="B6" s="12" t="s">
        <v>202</v>
      </c>
      <c r="C6" s="13">
        <v>27</v>
      </c>
      <c r="D6" s="14">
        <f>COUNTIFS('🏰 Castle Data'!$E$3:$E$1000,B6,'🏰 Castle Data'!$A$3:$A$1000,"COMPLETE")</f>
        <v>0</v>
      </c>
      <c r="E6" s="15">
        <f>COUNTIFS('🏰 Castle Data'!$E$3:$E$1000,B6,'🏰 Castle Data'!$A$3:$A$1000,"PARTIAL")</f>
        <v>27</v>
      </c>
      <c r="F6" s="16">
        <f>COUNTIFS('🏰 Castle Data'!$E$3:$E$1000,B6,'🏰 Castle Data'!$A$3:$A$1000,"STUB")</f>
        <v>0</v>
      </c>
    </row>
    <row r="7" spans="2:6" ht="20" customHeight="1" x14ac:dyDescent="0.2">
      <c r="B7" s="12" t="s">
        <v>382</v>
      </c>
      <c r="C7" s="13">
        <v>24</v>
      </c>
      <c r="D7" s="14">
        <f>COUNTIFS('🏰 Castle Data'!$E$3:$E$1000,B7,'🏰 Castle Data'!$A$3:$A$1000,"COMPLETE")</f>
        <v>0</v>
      </c>
      <c r="E7" s="15">
        <f>COUNTIFS('🏰 Castle Data'!$E$3:$E$1000,B7,'🏰 Castle Data'!$A$3:$A$1000,"PARTIAL")</f>
        <v>24</v>
      </c>
      <c r="F7" s="16">
        <f>COUNTIFS('🏰 Castle Data'!$E$3:$E$1000,B7,'🏰 Castle Data'!$A$3:$A$1000,"STUB")</f>
        <v>0</v>
      </c>
    </row>
    <row r="8" spans="2:6" ht="20" customHeight="1" x14ac:dyDescent="0.2">
      <c r="B8" s="12" t="s">
        <v>533</v>
      </c>
      <c r="C8" s="13">
        <v>17</v>
      </c>
      <c r="D8" s="14">
        <f>COUNTIFS('🏰 Castle Data'!$E$3:$E$1000,B8,'🏰 Castle Data'!$A$3:$A$1000,"COMPLETE")</f>
        <v>0</v>
      </c>
      <c r="E8" s="15">
        <f>COUNTIFS('🏰 Castle Data'!$E$3:$E$1000,B8,'🏰 Castle Data'!$A$3:$A$1000,"PARTIAL")</f>
        <v>17</v>
      </c>
      <c r="F8" s="16">
        <f>COUNTIFS('🏰 Castle Data'!$E$3:$E$1000,B8,'🏰 Castle Data'!$A$3:$A$1000,"STUB")</f>
        <v>0</v>
      </c>
    </row>
    <row r="9" spans="2:6" ht="20" customHeight="1" x14ac:dyDescent="0.2">
      <c r="B9" s="12" t="s">
        <v>631</v>
      </c>
      <c r="C9" s="13">
        <v>33</v>
      </c>
      <c r="D9" s="14">
        <f>COUNTIFS('🏰 Castle Data'!$E$3:$E$1000,B9,'🏰 Castle Data'!$A$3:$A$1000,"COMPLETE")</f>
        <v>0</v>
      </c>
      <c r="E9" s="15">
        <f>COUNTIFS('🏰 Castle Data'!$E$3:$E$1000,B9,'🏰 Castle Data'!$A$3:$A$1000,"PARTIAL")</f>
        <v>33</v>
      </c>
      <c r="F9" s="16">
        <f>COUNTIFS('🏰 Castle Data'!$E$3:$E$1000,B9,'🏰 Castle Data'!$A$3:$A$1000,"STUB")</f>
        <v>0</v>
      </c>
    </row>
    <row r="10" spans="2:6" ht="20" customHeight="1" x14ac:dyDescent="0.2">
      <c r="B10" s="12" t="s">
        <v>829</v>
      </c>
      <c r="C10" s="13">
        <v>18</v>
      </c>
      <c r="D10" s="14">
        <f>COUNTIFS('🏰 Castle Data'!$E$3:$E$1000,B10,'🏰 Castle Data'!$A$3:$A$1000,"COMPLETE")</f>
        <v>0</v>
      </c>
      <c r="E10" s="15">
        <f>COUNTIFS('🏰 Castle Data'!$E$3:$E$1000,B10,'🏰 Castle Data'!$A$3:$A$1000,"PARTIAL")</f>
        <v>18</v>
      </c>
      <c r="F10" s="16">
        <f>COUNTIFS('🏰 Castle Data'!$E$3:$E$1000,B10,'🏰 Castle Data'!$A$3:$A$1000,"STUB")</f>
        <v>0</v>
      </c>
    </row>
    <row r="11" spans="2:6" ht="20" customHeight="1" x14ac:dyDescent="0.2">
      <c r="B11" s="12" t="s">
        <v>929</v>
      </c>
      <c r="C11" s="13">
        <v>21</v>
      </c>
      <c r="D11" s="14">
        <f>COUNTIFS('🏰 Castle Data'!$E$3:$E$1000,B11,'🏰 Castle Data'!$A$3:$A$1000,"COMPLETE")</f>
        <v>0</v>
      </c>
      <c r="E11" s="15">
        <f>COUNTIFS('🏰 Castle Data'!$E$3:$E$1000,B11,'🏰 Castle Data'!$A$3:$A$1000,"PARTIAL")</f>
        <v>21</v>
      </c>
      <c r="F11" s="16">
        <f>COUNTIFS('🏰 Castle Data'!$E$3:$E$1000,B11,'🏰 Castle Data'!$A$3:$A$1000,"STUB")</f>
        <v>0</v>
      </c>
    </row>
    <row r="12" spans="2:6" ht="20" customHeight="1" x14ac:dyDescent="0.2">
      <c r="B12" s="12" t="s">
        <v>1063</v>
      </c>
      <c r="C12" s="13">
        <v>14</v>
      </c>
      <c r="D12" s="14">
        <f>COUNTIFS('🏰 Castle Data'!$E$3:$E$1000,B12,'🏰 Castle Data'!$A$3:$A$1000,"COMPLETE")</f>
        <v>0</v>
      </c>
      <c r="E12" s="15">
        <f>COUNTIFS('🏰 Castle Data'!$E$3:$E$1000,B12,'🏰 Castle Data'!$A$3:$A$1000,"PARTIAL")</f>
        <v>14</v>
      </c>
      <c r="F12" s="16">
        <f>COUNTIFS('🏰 Castle Data'!$E$3:$E$1000,B12,'🏰 Castle Data'!$A$3:$A$1000,"STUB")</f>
        <v>0</v>
      </c>
    </row>
    <row r="13" spans="2:6" ht="20" customHeight="1" x14ac:dyDescent="0.2">
      <c r="B13" s="12" t="s">
        <v>1146</v>
      </c>
      <c r="C13" s="13">
        <v>18</v>
      </c>
      <c r="D13" s="14">
        <f>COUNTIFS('🏰 Castle Data'!$E$3:$E$1000,B13,'🏰 Castle Data'!$A$3:$A$1000,"COMPLETE")</f>
        <v>0</v>
      </c>
      <c r="E13" s="15">
        <f>COUNTIFS('🏰 Castle Data'!$E$3:$E$1000,B13,'🏰 Castle Data'!$A$3:$A$1000,"PARTIAL")</f>
        <v>18</v>
      </c>
      <c r="F13" s="16">
        <f>COUNTIFS('🏰 Castle Data'!$E$3:$E$1000,B13,'🏰 Castle Data'!$A$3:$A$1000,"STUB")</f>
        <v>0</v>
      </c>
    </row>
    <row r="14" spans="2:6" ht="22" customHeight="1" x14ac:dyDescent="0.2">
      <c r="B14" s="17" t="s">
        <v>1261</v>
      </c>
      <c r="C14" s="11">
        <f>SUM(C5:C13)</f>
        <v>188</v>
      </c>
      <c r="D14" s="11">
        <f>SUM(D5:D13)</f>
        <v>0</v>
      </c>
      <c r="E14" s="11">
        <f>SUM(E5:E13)</f>
        <v>188</v>
      </c>
      <c r="F14" s="11">
        <f>SUM(F5:F13)</f>
        <v>0</v>
      </c>
    </row>
  </sheetData>
  <mergeCells count="1">
    <mergeCell ref="B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60"/>
  <sheetViews>
    <sheetView showGridLines="0" workbookViewId="0"/>
  </sheetViews>
  <sheetFormatPr baseColWidth="10" defaultColWidth="8.83203125" defaultRowHeight="15" x14ac:dyDescent="0.2"/>
  <cols>
    <col min="1" max="1" width="2" customWidth="1"/>
    <col min="2" max="2" width="24" customWidth="1"/>
    <col min="3" max="3" width="58" customWidth="1"/>
  </cols>
  <sheetData>
    <row r="2" spans="2:3" ht="32" customHeight="1" x14ac:dyDescent="0.2">
      <c r="B2" s="34" t="s">
        <v>1262</v>
      </c>
      <c r="C2" s="33"/>
    </row>
    <row r="3" spans="2:3" ht="20" customHeight="1" x14ac:dyDescent="0.2">
      <c r="B3" s="35" t="s">
        <v>1263</v>
      </c>
      <c r="C3" s="33"/>
    </row>
    <row r="6" spans="2:3" ht="20" customHeight="1" x14ac:dyDescent="0.2">
      <c r="B6" s="32" t="s">
        <v>2</v>
      </c>
      <c r="C6" s="33"/>
    </row>
    <row r="7" spans="2:3" ht="28" customHeight="1" x14ac:dyDescent="0.2">
      <c r="B7" s="1" t="s">
        <v>3</v>
      </c>
      <c r="C7" s="2" t="s">
        <v>1264</v>
      </c>
    </row>
    <row r="8" spans="2:3" ht="28" customHeight="1" x14ac:dyDescent="0.2">
      <c r="B8" s="1" t="s">
        <v>5</v>
      </c>
      <c r="C8" s="2" t="s">
        <v>1265</v>
      </c>
    </row>
    <row r="9" spans="2:3" ht="28" customHeight="1" x14ac:dyDescent="0.2">
      <c r="B9" s="1" t="s">
        <v>7</v>
      </c>
      <c r="C9" s="2" t="s">
        <v>1266</v>
      </c>
    </row>
    <row r="10" spans="2:3" ht="28" customHeight="1" x14ac:dyDescent="0.2">
      <c r="B10" s="1" t="s">
        <v>9</v>
      </c>
      <c r="C10" s="2" t="s">
        <v>1267</v>
      </c>
    </row>
    <row r="11" spans="2:3" ht="28" customHeight="1" x14ac:dyDescent="0.2">
      <c r="B11" s="1" t="s">
        <v>11</v>
      </c>
      <c r="C11" s="2" t="s">
        <v>1268</v>
      </c>
    </row>
    <row r="12" spans="2:3" ht="28" customHeight="1" x14ac:dyDescent="0.2">
      <c r="B12" s="1" t="s">
        <v>13</v>
      </c>
      <c r="C12" s="2" t="s">
        <v>14</v>
      </c>
    </row>
    <row r="14" spans="2:3" ht="20" customHeight="1" x14ac:dyDescent="0.2">
      <c r="B14" s="32" t="s">
        <v>1269</v>
      </c>
      <c r="C14" s="33"/>
    </row>
    <row r="15" spans="2:3" ht="28" customHeight="1" x14ac:dyDescent="0.2">
      <c r="B15" s="1" t="s">
        <v>1270</v>
      </c>
      <c r="C15" s="2" t="s">
        <v>1271</v>
      </c>
    </row>
    <row r="16" spans="2:3" ht="28" customHeight="1" x14ac:dyDescent="0.2">
      <c r="B16" s="1" t="s">
        <v>1272</v>
      </c>
      <c r="C16" s="2" t="s">
        <v>1273</v>
      </c>
    </row>
    <row r="17" spans="2:3" ht="28" customHeight="1" x14ac:dyDescent="0.2">
      <c r="B17" s="1" t="s">
        <v>1274</v>
      </c>
      <c r="C17" s="2" t="s">
        <v>1275</v>
      </c>
    </row>
    <row r="19" spans="2:3" ht="20" customHeight="1" x14ac:dyDescent="0.2">
      <c r="B19" s="32" t="s">
        <v>15</v>
      </c>
      <c r="C19" s="33"/>
    </row>
    <row r="20" spans="2:3" ht="28" customHeight="1" x14ac:dyDescent="0.2">
      <c r="B20" s="1" t="s">
        <v>21</v>
      </c>
      <c r="C20" s="2" t="s">
        <v>1276</v>
      </c>
    </row>
    <row r="21" spans="2:3" ht="28" customHeight="1" x14ac:dyDescent="0.2">
      <c r="B21" s="1" t="s">
        <v>16</v>
      </c>
      <c r="C21" s="2" t="s">
        <v>17</v>
      </c>
    </row>
    <row r="22" spans="2:3" ht="28" customHeight="1" x14ac:dyDescent="0.2">
      <c r="B22" s="1" t="s">
        <v>18</v>
      </c>
      <c r="C22" s="2" t="s">
        <v>17</v>
      </c>
    </row>
    <row r="23" spans="2:3" ht="28" customHeight="1" x14ac:dyDescent="0.2">
      <c r="B23" s="1" t="s">
        <v>19</v>
      </c>
      <c r="C23" s="2" t="s">
        <v>17</v>
      </c>
    </row>
    <row r="24" spans="2:3" ht="28" customHeight="1" x14ac:dyDescent="0.2">
      <c r="B24" s="1" t="s">
        <v>1277</v>
      </c>
      <c r="C24" s="2" t="s">
        <v>1278</v>
      </c>
    </row>
    <row r="25" spans="2:3" ht="28" customHeight="1" x14ac:dyDescent="0.2">
      <c r="B25" s="1" t="s">
        <v>1279</v>
      </c>
      <c r="C25" s="2" t="s">
        <v>1280</v>
      </c>
    </row>
    <row r="26" spans="2:3" ht="28" customHeight="1" x14ac:dyDescent="0.2">
      <c r="B26" s="1" t="s">
        <v>1281</v>
      </c>
      <c r="C26" s="2" t="s">
        <v>1282</v>
      </c>
    </row>
    <row r="27" spans="2:3" ht="28" customHeight="1" x14ac:dyDescent="0.2">
      <c r="B27" s="1" t="s">
        <v>1283</v>
      </c>
      <c r="C27" s="2" t="s">
        <v>1284</v>
      </c>
    </row>
    <row r="28" spans="2:3" ht="28" customHeight="1" x14ac:dyDescent="0.2">
      <c r="B28" s="1" t="s">
        <v>1285</v>
      </c>
      <c r="C28" s="2" t="s">
        <v>1286</v>
      </c>
    </row>
    <row r="29" spans="2:3" ht="28" customHeight="1" x14ac:dyDescent="0.2">
      <c r="B29" s="1" t="s">
        <v>1287</v>
      </c>
      <c r="C29" s="2" t="s">
        <v>1288</v>
      </c>
    </row>
    <row r="30" spans="2:3" ht="28" customHeight="1" x14ac:dyDescent="0.2">
      <c r="B30" s="1" t="s">
        <v>1289</v>
      </c>
      <c r="C30" s="2" t="s">
        <v>1290</v>
      </c>
    </row>
    <row r="31" spans="2:3" ht="28" customHeight="1" x14ac:dyDescent="0.2">
      <c r="B31" s="1" t="s">
        <v>1291</v>
      </c>
      <c r="C31" s="2" t="s">
        <v>1292</v>
      </c>
    </row>
    <row r="32" spans="2:3" ht="28" customHeight="1" x14ac:dyDescent="0.2">
      <c r="B32" s="1" t="s">
        <v>1293</v>
      </c>
      <c r="C32" s="2" t="s">
        <v>1294</v>
      </c>
    </row>
    <row r="33" spans="2:3" ht="28" customHeight="1" x14ac:dyDescent="0.2">
      <c r="B33" s="1" t="s">
        <v>1295</v>
      </c>
      <c r="C33" s="2" t="s">
        <v>1296</v>
      </c>
    </row>
    <row r="34" spans="2:3" ht="28" customHeight="1" x14ac:dyDescent="0.2">
      <c r="B34" s="1" t="s">
        <v>1297</v>
      </c>
      <c r="C34" s="2" t="s">
        <v>1298</v>
      </c>
    </row>
    <row r="35" spans="2:3" ht="28" customHeight="1" x14ac:dyDescent="0.2">
      <c r="B35" s="1" t="s">
        <v>1299</v>
      </c>
      <c r="C35" s="2" t="s">
        <v>1300</v>
      </c>
    </row>
    <row r="36" spans="2:3" ht="28" customHeight="1" x14ac:dyDescent="0.2">
      <c r="B36" s="1" t="s">
        <v>1301</v>
      </c>
      <c r="C36" s="2" t="s">
        <v>1302</v>
      </c>
    </row>
    <row r="37" spans="2:3" ht="28" customHeight="1" x14ac:dyDescent="0.2">
      <c r="B37" s="1" t="s">
        <v>1303</v>
      </c>
      <c r="C37" s="2" t="s">
        <v>1304</v>
      </c>
    </row>
    <row r="38" spans="2:3" ht="28" customHeight="1" x14ac:dyDescent="0.2">
      <c r="B38" s="1" t="s">
        <v>1305</v>
      </c>
      <c r="C38" s="2" t="s">
        <v>1306</v>
      </c>
    </row>
    <row r="39" spans="2:3" ht="28" customHeight="1" x14ac:dyDescent="0.2">
      <c r="B39" s="1" t="s">
        <v>1307</v>
      </c>
      <c r="C39" s="2" t="s">
        <v>1308</v>
      </c>
    </row>
    <row r="40" spans="2:3" ht="28" customHeight="1" x14ac:dyDescent="0.2">
      <c r="B40" s="1" t="s">
        <v>1309</v>
      </c>
      <c r="C40" s="2" t="s">
        <v>1310</v>
      </c>
    </row>
    <row r="41" spans="2:3" ht="28" customHeight="1" x14ac:dyDescent="0.2">
      <c r="B41" s="1" t="s">
        <v>1311</v>
      </c>
      <c r="C41" s="2" t="s">
        <v>1312</v>
      </c>
    </row>
    <row r="42" spans="2:3" ht="28" customHeight="1" x14ac:dyDescent="0.2">
      <c r="B42" s="1" t="s">
        <v>1313</v>
      </c>
      <c r="C42" s="2" t="s">
        <v>1314</v>
      </c>
    </row>
    <row r="44" spans="2:3" ht="20" customHeight="1" x14ac:dyDescent="0.2">
      <c r="B44" s="32" t="s">
        <v>1315</v>
      </c>
      <c r="C44" s="33"/>
    </row>
    <row r="45" spans="2:3" ht="28" customHeight="1" x14ac:dyDescent="0.2">
      <c r="B45" s="1" t="s">
        <v>1316</v>
      </c>
      <c r="C45" s="2" t="s">
        <v>1317</v>
      </c>
    </row>
    <row r="46" spans="2:3" ht="28" customHeight="1" x14ac:dyDescent="0.2">
      <c r="B46" s="1" t="s">
        <v>1318</v>
      </c>
      <c r="C46" s="2" t="s">
        <v>1319</v>
      </c>
    </row>
    <row r="47" spans="2:3" ht="28" customHeight="1" x14ac:dyDescent="0.2">
      <c r="B47" s="1" t="s">
        <v>1320</v>
      </c>
      <c r="C47" s="2" t="s">
        <v>1321</v>
      </c>
    </row>
    <row r="48" spans="2:3" ht="28" customHeight="1" x14ac:dyDescent="0.2">
      <c r="B48" s="1" t="s">
        <v>1322</v>
      </c>
      <c r="C48" s="2" t="s">
        <v>1323</v>
      </c>
    </row>
    <row r="50" spans="2:3" ht="20" customHeight="1" x14ac:dyDescent="0.2">
      <c r="B50" s="32" t="s">
        <v>1324</v>
      </c>
      <c r="C50" s="33"/>
    </row>
    <row r="51" spans="2:3" ht="28" customHeight="1" x14ac:dyDescent="0.2">
      <c r="B51" s="1" t="s">
        <v>1325</v>
      </c>
      <c r="C51" s="2" t="s">
        <v>1326</v>
      </c>
    </row>
    <row r="52" spans="2:3" ht="28" customHeight="1" x14ac:dyDescent="0.2">
      <c r="B52" s="1" t="s">
        <v>1327</v>
      </c>
      <c r="C52" s="2" t="s">
        <v>1328</v>
      </c>
    </row>
    <row r="53" spans="2:3" ht="28" customHeight="1" x14ac:dyDescent="0.2">
      <c r="B53" s="1" t="s">
        <v>1329</v>
      </c>
      <c r="C53" s="2" t="s">
        <v>1330</v>
      </c>
    </row>
    <row r="54" spans="2:3" ht="28" customHeight="1" x14ac:dyDescent="0.2">
      <c r="B54" s="1" t="s">
        <v>1331</v>
      </c>
      <c r="C54" s="2" t="s">
        <v>1332</v>
      </c>
    </row>
    <row r="56" spans="2:3" ht="20" customHeight="1" x14ac:dyDescent="0.2">
      <c r="B56" s="32" t="s">
        <v>65</v>
      </c>
      <c r="C56" s="33"/>
    </row>
    <row r="57" spans="2:3" ht="28" customHeight="1" x14ac:dyDescent="0.2">
      <c r="B57" s="1" t="s">
        <v>1333</v>
      </c>
      <c r="C57" s="2" t="s">
        <v>1334</v>
      </c>
    </row>
    <row r="58" spans="2:3" ht="28" customHeight="1" x14ac:dyDescent="0.2">
      <c r="B58" s="1" t="s">
        <v>1335</v>
      </c>
      <c r="C58" s="2" t="s">
        <v>1336</v>
      </c>
    </row>
    <row r="59" spans="2:3" ht="28" customHeight="1" x14ac:dyDescent="0.2">
      <c r="B59" s="1" t="s">
        <v>1337</v>
      </c>
      <c r="C59" s="2" t="s">
        <v>1338</v>
      </c>
    </row>
    <row r="60" spans="2:3" ht="28" customHeight="1" x14ac:dyDescent="0.2">
      <c r="B60" s="1" t="s">
        <v>1339</v>
      </c>
      <c r="C60" s="2" t="s">
        <v>1340</v>
      </c>
    </row>
  </sheetData>
  <mergeCells count="8">
    <mergeCell ref="B50:C50"/>
    <mergeCell ref="B56:C56"/>
    <mergeCell ref="B6:C6"/>
    <mergeCell ref="B44:C44"/>
    <mergeCell ref="B2:C2"/>
    <mergeCell ref="B3:C3"/>
    <mergeCell ref="B19:C19"/>
    <mergeCell ref="B14:C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21"/>
  <sheetViews>
    <sheetView showGridLines="0" workbookViewId="0">
      <pane xSplit="4" ySplit="2" topLeftCell="E3" activePane="bottomRight" state="frozen"/>
      <selection pane="topRight"/>
      <selection pane="bottomLeft"/>
      <selection pane="bottomRight"/>
    </sheetView>
  </sheetViews>
  <sheetFormatPr baseColWidth="10" defaultColWidth="8.83203125" defaultRowHeight="15" x14ac:dyDescent="0.2"/>
  <cols>
    <col min="1" max="2" width="14" customWidth="1"/>
    <col min="3" max="4" width="26" customWidth="1"/>
    <col min="5" max="5" width="16" customWidth="1"/>
    <col min="6" max="7" width="14" customWidth="1"/>
    <col min="8" max="8" width="32" customWidth="1"/>
    <col min="9" max="9" width="28" customWidth="1"/>
    <col min="10" max="13" width="24" customWidth="1"/>
    <col min="14" max="15" width="20" customWidth="1"/>
    <col min="16" max="16" width="40" customWidth="1"/>
    <col min="17" max="17" width="28" customWidth="1"/>
    <col min="18" max="18" width="24" customWidth="1"/>
    <col min="19" max="21" width="14" customWidth="1"/>
    <col min="22" max="22" width="40" customWidth="1"/>
    <col min="23" max="24" width="50" customWidth="1"/>
    <col min="25" max="25" width="48" customWidth="1"/>
  </cols>
  <sheetData>
    <row r="1" spans="1:25" ht="18" customHeight="1" x14ac:dyDescent="0.2">
      <c r="A1" s="41" t="s">
        <v>74</v>
      </c>
      <c r="B1" s="33"/>
      <c r="C1" s="39" t="s">
        <v>75</v>
      </c>
      <c r="D1" s="33"/>
      <c r="E1" s="33"/>
      <c r="F1" s="33"/>
      <c r="G1" s="33"/>
      <c r="H1" s="40" t="s">
        <v>1341</v>
      </c>
      <c r="I1" s="33"/>
      <c r="J1" s="18" t="s">
        <v>1342</v>
      </c>
      <c r="K1" s="38" t="s">
        <v>1343</v>
      </c>
      <c r="L1" s="33"/>
      <c r="M1" s="33"/>
      <c r="N1" s="33"/>
      <c r="O1" s="37" t="s">
        <v>1344</v>
      </c>
      <c r="P1" s="33"/>
      <c r="Q1" s="33"/>
      <c r="R1" s="33"/>
      <c r="S1" s="43" t="s">
        <v>1345</v>
      </c>
      <c r="T1" s="33"/>
      <c r="U1" s="33"/>
      <c r="V1" s="33"/>
      <c r="W1" s="36" t="s">
        <v>79</v>
      </c>
      <c r="X1" s="33"/>
      <c r="Y1" s="33"/>
    </row>
    <row r="2" spans="1:25" ht="22" customHeight="1" x14ac:dyDescent="0.2">
      <c r="A2" s="3" t="s">
        <v>21</v>
      </c>
      <c r="B2" s="3" t="s">
        <v>80</v>
      </c>
      <c r="C2" s="3" t="s">
        <v>16</v>
      </c>
      <c r="D2" s="3" t="s">
        <v>18</v>
      </c>
      <c r="E2" s="3" t="s">
        <v>19</v>
      </c>
      <c r="F2" s="3" t="s">
        <v>1277</v>
      </c>
      <c r="G2" s="3" t="s">
        <v>1279</v>
      </c>
      <c r="H2" s="3" t="s">
        <v>1283</v>
      </c>
      <c r="I2" s="3" t="s">
        <v>1285</v>
      </c>
      <c r="J2" s="3" t="s">
        <v>1281</v>
      </c>
      <c r="K2" s="3" t="s">
        <v>1287</v>
      </c>
      <c r="L2" s="3" t="s">
        <v>1289</v>
      </c>
      <c r="M2" s="3" t="s">
        <v>1291</v>
      </c>
      <c r="N2" s="3" t="s">
        <v>1293</v>
      </c>
      <c r="O2" s="3" t="s">
        <v>1295</v>
      </c>
      <c r="P2" s="3" t="s">
        <v>1297</v>
      </c>
      <c r="Q2" s="3" t="s">
        <v>1299</v>
      </c>
      <c r="R2" s="3" t="s">
        <v>1301</v>
      </c>
      <c r="S2" s="3" t="s">
        <v>1303</v>
      </c>
      <c r="T2" s="3" t="s">
        <v>1305</v>
      </c>
      <c r="U2" s="3" t="s">
        <v>1307</v>
      </c>
      <c r="V2" s="3" t="s">
        <v>1309</v>
      </c>
      <c r="W2" s="3" t="s">
        <v>1311</v>
      </c>
      <c r="X2" s="3" t="s">
        <v>1313</v>
      </c>
      <c r="Y2" s="3" t="s">
        <v>55</v>
      </c>
    </row>
    <row r="3" spans="1:25" ht="20" customHeight="1" x14ac:dyDescent="0.2">
      <c r="A3" s="4" t="s">
        <v>86</v>
      </c>
      <c r="B3" s="5" t="s">
        <v>87</v>
      </c>
      <c r="C3" s="6" t="s">
        <v>206</v>
      </c>
      <c r="D3" s="6" t="s">
        <v>1346</v>
      </c>
      <c r="E3" s="6" t="s">
        <v>202</v>
      </c>
      <c r="F3" s="7" t="s">
        <v>1316</v>
      </c>
      <c r="G3" s="19" t="s">
        <v>1347</v>
      </c>
      <c r="H3" s="5" t="s">
        <v>1348</v>
      </c>
      <c r="I3" s="5" t="s">
        <v>200</v>
      </c>
      <c r="J3" s="5"/>
      <c r="K3" s="6" t="s">
        <v>207</v>
      </c>
      <c r="L3" s="5" t="s">
        <v>1349</v>
      </c>
      <c r="M3" s="5" t="s">
        <v>1350</v>
      </c>
      <c r="N3" s="5" t="s">
        <v>1351</v>
      </c>
      <c r="O3" s="5" t="s">
        <v>1352</v>
      </c>
      <c r="P3" s="5" t="s">
        <v>1353</v>
      </c>
      <c r="Q3" s="5" t="s">
        <v>1354</v>
      </c>
      <c r="R3" s="5" t="s">
        <v>224</v>
      </c>
      <c r="S3" s="8">
        <v>8</v>
      </c>
      <c r="T3" s="8">
        <v>9</v>
      </c>
      <c r="U3" s="8" t="s">
        <v>1355</v>
      </c>
      <c r="V3" s="5" t="s">
        <v>1356</v>
      </c>
      <c r="W3" s="5" t="s">
        <v>1357</v>
      </c>
      <c r="X3" s="5"/>
      <c r="Y3" s="6" t="s">
        <v>1358</v>
      </c>
    </row>
    <row r="4" spans="1:25" ht="20" customHeight="1" x14ac:dyDescent="0.2">
      <c r="A4" s="4" t="s">
        <v>86</v>
      </c>
      <c r="B4" s="5" t="s">
        <v>87</v>
      </c>
      <c r="C4" s="6" t="s">
        <v>537</v>
      </c>
      <c r="D4" s="6" t="s">
        <v>1359</v>
      </c>
      <c r="E4" s="6" t="s">
        <v>533</v>
      </c>
      <c r="F4" s="7" t="s">
        <v>1316</v>
      </c>
      <c r="G4" s="19" t="s">
        <v>1360</v>
      </c>
      <c r="H4" s="5" t="s">
        <v>1361</v>
      </c>
      <c r="I4" s="5" t="s">
        <v>531</v>
      </c>
      <c r="J4" s="5"/>
      <c r="K4" s="6" t="s">
        <v>538</v>
      </c>
      <c r="L4" s="5" t="s">
        <v>1362</v>
      </c>
      <c r="M4" s="5" t="s">
        <v>1363</v>
      </c>
      <c r="N4" s="5" t="s">
        <v>1364</v>
      </c>
      <c r="O4" s="5" t="s">
        <v>1365</v>
      </c>
      <c r="P4" s="5" t="s">
        <v>1366</v>
      </c>
      <c r="Q4" s="5" t="s">
        <v>1367</v>
      </c>
      <c r="R4" s="5" t="s">
        <v>1368</v>
      </c>
      <c r="S4" s="8">
        <v>10</v>
      </c>
      <c r="T4" s="8">
        <v>9</v>
      </c>
      <c r="U4" s="8" t="s">
        <v>1369</v>
      </c>
      <c r="V4" s="5" t="s">
        <v>1370</v>
      </c>
      <c r="W4" s="5" t="s">
        <v>1371</v>
      </c>
      <c r="X4" s="5"/>
      <c r="Y4" s="6" t="s">
        <v>1372</v>
      </c>
    </row>
    <row r="5" spans="1:25" ht="20" customHeight="1" x14ac:dyDescent="0.2">
      <c r="A5" s="4" t="s">
        <v>86</v>
      </c>
      <c r="B5" s="5" t="s">
        <v>87</v>
      </c>
      <c r="C5" s="6" t="s">
        <v>634</v>
      </c>
      <c r="D5" s="6" t="s">
        <v>1373</v>
      </c>
      <c r="E5" s="6" t="s">
        <v>631</v>
      </c>
      <c r="F5" s="7" t="s">
        <v>1316</v>
      </c>
      <c r="G5" s="19" t="s">
        <v>1374</v>
      </c>
      <c r="H5" s="5" t="s">
        <v>1375</v>
      </c>
      <c r="I5" s="5" t="s">
        <v>629</v>
      </c>
      <c r="J5" s="5"/>
      <c r="K5" s="6" t="s">
        <v>635</v>
      </c>
      <c r="L5" s="5" t="s">
        <v>1376</v>
      </c>
      <c r="M5" s="5" t="s">
        <v>1377</v>
      </c>
      <c r="N5" s="5" t="s">
        <v>1378</v>
      </c>
      <c r="O5" s="5" t="s">
        <v>1379</v>
      </c>
      <c r="P5" s="5" t="s">
        <v>1380</v>
      </c>
      <c r="Q5" s="5" t="s">
        <v>1381</v>
      </c>
      <c r="R5" s="5" t="s">
        <v>1382</v>
      </c>
      <c r="S5" s="8">
        <v>9</v>
      </c>
      <c r="T5" s="8">
        <v>7</v>
      </c>
      <c r="U5" s="8" t="s">
        <v>1383</v>
      </c>
      <c r="V5" s="5" t="s">
        <v>1384</v>
      </c>
      <c r="W5" s="5" t="s">
        <v>1385</v>
      </c>
      <c r="X5" s="5"/>
      <c r="Y5" s="6" t="s">
        <v>1386</v>
      </c>
    </row>
    <row r="6" spans="1:25" ht="20" customHeight="1" x14ac:dyDescent="0.2">
      <c r="A6" s="4" t="s">
        <v>86</v>
      </c>
      <c r="B6" s="5" t="s">
        <v>87</v>
      </c>
      <c r="C6" s="6" t="s">
        <v>832</v>
      </c>
      <c r="D6" s="6" t="s">
        <v>1387</v>
      </c>
      <c r="E6" s="6" t="s">
        <v>829</v>
      </c>
      <c r="F6" s="7" t="s">
        <v>1316</v>
      </c>
      <c r="G6" s="19" t="s">
        <v>1388</v>
      </c>
      <c r="H6" s="5" t="s">
        <v>1389</v>
      </c>
      <c r="I6" s="5" t="s">
        <v>827</v>
      </c>
      <c r="J6" s="5"/>
      <c r="K6" s="6" t="s">
        <v>99</v>
      </c>
      <c r="L6" s="5" t="s">
        <v>1390</v>
      </c>
      <c r="M6" s="5" t="s">
        <v>1391</v>
      </c>
      <c r="N6" s="5" t="s">
        <v>1392</v>
      </c>
      <c r="O6" s="5" t="s">
        <v>1393</v>
      </c>
      <c r="P6" s="5" t="s">
        <v>1394</v>
      </c>
      <c r="Q6" s="5" t="s">
        <v>1395</v>
      </c>
      <c r="R6" s="5" t="s">
        <v>1396</v>
      </c>
      <c r="S6" s="8">
        <v>7</v>
      </c>
      <c r="T6" s="8">
        <v>9</v>
      </c>
      <c r="U6" s="8" t="s">
        <v>1397</v>
      </c>
      <c r="V6" s="5" t="s">
        <v>1398</v>
      </c>
      <c r="W6" s="5" t="s">
        <v>1399</v>
      </c>
      <c r="X6" s="5"/>
      <c r="Y6" s="6" t="s">
        <v>1400</v>
      </c>
    </row>
    <row r="7" spans="1:25" ht="20" customHeight="1" x14ac:dyDescent="0.2">
      <c r="A7" s="4" t="s">
        <v>86</v>
      </c>
      <c r="B7" s="5" t="s">
        <v>87</v>
      </c>
      <c r="C7" s="6" t="s">
        <v>1066</v>
      </c>
      <c r="D7" s="6" t="s">
        <v>1401</v>
      </c>
      <c r="E7" s="6" t="s">
        <v>1063</v>
      </c>
      <c r="F7" s="7" t="s">
        <v>1316</v>
      </c>
      <c r="G7" s="19" t="s">
        <v>1402</v>
      </c>
      <c r="H7" s="5" t="s">
        <v>1403</v>
      </c>
      <c r="I7" s="5" t="s">
        <v>1404</v>
      </c>
      <c r="J7" s="5"/>
      <c r="K7" s="6" t="s">
        <v>1067</v>
      </c>
      <c r="L7" s="5" t="s">
        <v>1405</v>
      </c>
      <c r="M7" s="5" t="s">
        <v>1406</v>
      </c>
      <c r="N7" s="5" t="s">
        <v>1407</v>
      </c>
      <c r="O7" s="5" t="s">
        <v>1408</v>
      </c>
      <c r="P7" s="5" t="s">
        <v>1409</v>
      </c>
      <c r="Q7" s="5" t="s">
        <v>1150</v>
      </c>
      <c r="R7" s="5" t="s">
        <v>1410</v>
      </c>
      <c r="S7" s="8">
        <v>7</v>
      </c>
      <c r="T7" s="8">
        <v>7</v>
      </c>
      <c r="U7" s="8" t="s">
        <v>1411</v>
      </c>
      <c r="V7" s="5" t="s">
        <v>1412</v>
      </c>
      <c r="W7" s="5" t="s">
        <v>1413</v>
      </c>
      <c r="X7" s="5"/>
      <c r="Y7" s="6" t="s">
        <v>1414</v>
      </c>
    </row>
    <row r="8" spans="1:25" ht="20" customHeight="1" x14ac:dyDescent="0.2">
      <c r="A8" s="4" t="s">
        <v>86</v>
      </c>
      <c r="B8" s="5" t="s">
        <v>87</v>
      </c>
      <c r="C8" s="6" t="s">
        <v>387</v>
      </c>
      <c r="D8" s="6" t="s">
        <v>1415</v>
      </c>
      <c r="E8" s="6" t="s">
        <v>382</v>
      </c>
      <c r="F8" s="7" t="s">
        <v>1316</v>
      </c>
      <c r="G8" s="19" t="s">
        <v>1416</v>
      </c>
      <c r="H8" s="5" t="s">
        <v>1417</v>
      </c>
      <c r="I8" s="5" t="s">
        <v>380</v>
      </c>
      <c r="J8" s="5"/>
      <c r="K8" s="6" t="s">
        <v>388</v>
      </c>
      <c r="L8" s="5" t="s">
        <v>1418</v>
      </c>
      <c r="M8" s="5" t="s">
        <v>1419</v>
      </c>
      <c r="N8" s="5" t="s">
        <v>1407</v>
      </c>
      <c r="O8" s="5" t="s">
        <v>1420</v>
      </c>
      <c r="P8" s="5" t="s">
        <v>1421</v>
      </c>
      <c r="Q8" s="5" t="s">
        <v>1422</v>
      </c>
      <c r="R8" s="5" t="s">
        <v>1422</v>
      </c>
      <c r="S8" s="8">
        <v>6</v>
      </c>
      <c r="T8" s="8">
        <v>7</v>
      </c>
      <c r="U8" s="8" t="s">
        <v>1423</v>
      </c>
      <c r="V8" s="5" t="s">
        <v>1424</v>
      </c>
      <c r="W8" s="5" t="s">
        <v>1425</v>
      </c>
      <c r="X8" s="5"/>
      <c r="Y8" s="6" t="s">
        <v>1426</v>
      </c>
    </row>
    <row r="9" spans="1:25" ht="20" customHeight="1" x14ac:dyDescent="0.2">
      <c r="A9" s="4" t="s">
        <v>86</v>
      </c>
      <c r="B9" s="5" t="s">
        <v>87</v>
      </c>
      <c r="C9" s="6" t="s">
        <v>1150</v>
      </c>
      <c r="D9" s="6" t="s">
        <v>1427</v>
      </c>
      <c r="E9" s="6" t="s">
        <v>1146</v>
      </c>
      <c r="F9" s="7" t="s">
        <v>1316</v>
      </c>
      <c r="G9" s="19" t="s">
        <v>1428</v>
      </c>
      <c r="H9" s="5" t="s">
        <v>1429</v>
      </c>
      <c r="I9" s="5" t="s">
        <v>1144</v>
      </c>
      <c r="J9" s="5"/>
      <c r="K9" s="6" t="s">
        <v>1151</v>
      </c>
      <c r="L9" s="5" t="s">
        <v>1430</v>
      </c>
      <c r="M9" s="5" t="s">
        <v>1431</v>
      </c>
      <c r="N9" s="5" t="s">
        <v>1432</v>
      </c>
      <c r="O9" s="5" t="s">
        <v>1433</v>
      </c>
      <c r="P9" s="5" t="s">
        <v>1434</v>
      </c>
      <c r="Q9" s="5" t="s">
        <v>1409</v>
      </c>
      <c r="R9" s="5" t="s">
        <v>1435</v>
      </c>
      <c r="S9" s="8">
        <v>4</v>
      </c>
      <c r="T9" s="8">
        <v>8</v>
      </c>
      <c r="U9" s="8" t="s">
        <v>1436</v>
      </c>
      <c r="V9" s="5" t="s">
        <v>1437</v>
      </c>
      <c r="W9" s="5" t="s">
        <v>1438</v>
      </c>
      <c r="X9" s="5"/>
      <c r="Y9" s="6" t="s">
        <v>1439</v>
      </c>
    </row>
    <row r="10" spans="1:25" ht="20" customHeight="1" x14ac:dyDescent="0.2">
      <c r="A10" s="4" t="s">
        <v>86</v>
      </c>
      <c r="B10" s="5" t="s">
        <v>87</v>
      </c>
      <c r="C10" s="6" t="s">
        <v>933</v>
      </c>
      <c r="D10" s="6" t="s">
        <v>1440</v>
      </c>
      <c r="E10" s="6" t="s">
        <v>929</v>
      </c>
      <c r="F10" s="7" t="s">
        <v>1316</v>
      </c>
      <c r="G10" s="19" t="s">
        <v>1441</v>
      </c>
      <c r="H10" s="5" t="s">
        <v>1442</v>
      </c>
      <c r="I10" s="5" t="s">
        <v>927</v>
      </c>
      <c r="J10" s="5"/>
      <c r="K10" s="6" t="s">
        <v>934</v>
      </c>
      <c r="L10" s="5" t="s">
        <v>1443</v>
      </c>
      <c r="M10" s="5" t="s">
        <v>1444</v>
      </c>
      <c r="N10" s="5" t="s">
        <v>1407</v>
      </c>
      <c r="O10" s="5" t="s">
        <v>1445</v>
      </c>
      <c r="P10" s="5" t="s">
        <v>634</v>
      </c>
      <c r="Q10" s="5" t="s">
        <v>1446</v>
      </c>
      <c r="R10" s="5" t="s">
        <v>1447</v>
      </c>
      <c r="S10" s="8">
        <v>7</v>
      </c>
      <c r="T10" s="8">
        <v>7</v>
      </c>
      <c r="U10" s="8" t="s">
        <v>1448</v>
      </c>
      <c r="V10" s="5" t="s">
        <v>1449</v>
      </c>
      <c r="W10" s="5" t="s">
        <v>1450</v>
      </c>
      <c r="X10" s="5"/>
      <c r="Y10" s="6" t="s">
        <v>1451</v>
      </c>
    </row>
    <row r="11" spans="1:25" ht="20" customHeight="1" x14ac:dyDescent="0.2">
      <c r="A11" s="4" t="s">
        <v>86</v>
      </c>
      <c r="B11" s="5" t="s">
        <v>87</v>
      </c>
      <c r="C11" s="6" t="s">
        <v>111</v>
      </c>
      <c r="D11" s="6" t="s">
        <v>1452</v>
      </c>
      <c r="E11" s="6" t="s">
        <v>90</v>
      </c>
      <c r="F11" s="7" t="s">
        <v>1316</v>
      </c>
      <c r="G11" s="19" t="s">
        <v>1453</v>
      </c>
      <c r="H11" s="5" t="s">
        <v>1454</v>
      </c>
      <c r="I11" s="5" t="s">
        <v>104</v>
      </c>
      <c r="J11" s="5"/>
      <c r="K11" s="6" t="s">
        <v>112</v>
      </c>
      <c r="L11" s="5" t="s">
        <v>1455</v>
      </c>
      <c r="M11" s="5" t="s">
        <v>1456</v>
      </c>
      <c r="N11" s="5" t="s">
        <v>1457</v>
      </c>
      <c r="O11" s="5" t="s">
        <v>1458</v>
      </c>
      <c r="P11" s="5" t="s">
        <v>1459</v>
      </c>
      <c r="Q11" s="5" t="s">
        <v>1460</v>
      </c>
      <c r="R11" s="5" t="s">
        <v>1459</v>
      </c>
      <c r="S11" s="8">
        <v>6</v>
      </c>
      <c r="T11" s="8">
        <v>5</v>
      </c>
      <c r="U11" s="8" t="s">
        <v>1461</v>
      </c>
      <c r="V11" s="5" t="s">
        <v>1462</v>
      </c>
      <c r="W11" s="5" t="s">
        <v>1463</v>
      </c>
      <c r="X11" s="5"/>
      <c r="Y11" s="6" t="s">
        <v>1464</v>
      </c>
    </row>
    <row r="12" spans="1:25" ht="20" customHeight="1" x14ac:dyDescent="0.2">
      <c r="A12" s="4" t="s">
        <v>86</v>
      </c>
      <c r="B12" s="5" t="s">
        <v>87</v>
      </c>
      <c r="C12" s="6" t="s">
        <v>643</v>
      </c>
      <c r="D12" s="6" t="s">
        <v>1465</v>
      </c>
      <c r="E12" s="6" t="s">
        <v>631</v>
      </c>
      <c r="F12" s="9" t="s">
        <v>1318</v>
      </c>
      <c r="G12" s="19" t="s">
        <v>1466</v>
      </c>
      <c r="H12" s="5" t="s">
        <v>1467</v>
      </c>
      <c r="I12" s="5" t="s">
        <v>639</v>
      </c>
      <c r="J12" s="5"/>
      <c r="K12" s="6" t="s">
        <v>124</v>
      </c>
      <c r="L12" s="5" t="s">
        <v>1468</v>
      </c>
      <c r="M12" s="5" t="s">
        <v>124</v>
      </c>
      <c r="N12" s="5" t="s">
        <v>1407</v>
      </c>
      <c r="O12" s="5" t="s">
        <v>124</v>
      </c>
      <c r="P12" s="5" t="s">
        <v>634</v>
      </c>
      <c r="Q12" s="5" t="s">
        <v>1459</v>
      </c>
      <c r="R12" s="5" t="s">
        <v>1382</v>
      </c>
      <c r="S12" s="8">
        <v>8</v>
      </c>
      <c r="T12" s="8">
        <v>6</v>
      </c>
      <c r="U12" s="8" t="s">
        <v>1469</v>
      </c>
      <c r="V12" s="5" t="s">
        <v>1470</v>
      </c>
      <c r="W12" s="5" t="s">
        <v>1471</v>
      </c>
      <c r="X12" s="5"/>
      <c r="Y12" s="6" t="s">
        <v>1472</v>
      </c>
    </row>
    <row r="13" spans="1:25" ht="20" customHeight="1" x14ac:dyDescent="0.2">
      <c r="A13" s="4" t="s">
        <v>86</v>
      </c>
      <c r="B13" s="5" t="s">
        <v>87</v>
      </c>
      <c r="C13" s="6" t="s">
        <v>224</v>
      </c>
      <c r="D13" s="6" t="s">
        <v>1473</v>
      </c>
      <c r="E13" s="6" t="s">
        <v>202</v>
      </c>
      <c r="F13" s="9" t="s">
        <v>1318</v>
      </c>
      <c r="G13" s="19" t="s">
        <v>1474</v>
      </c>
      <c r="H13" s="5" t="s">
        <v>1475</v>
      </c>
      <c r="I13" s="5" t="s">
        <v>1476</v>
      </c>
      <c r="J13" s="5"/>
      <c r="K13" s="6" t="s">
        <v>225</v>
      </c>
      <c r="L13" s="5" t="s">
        <v>1477</v>
      </c>
      <c r="M13" s="5" t="s">
        <v>1478</v>
      </c>
      <c r="N13" s="5" t="s">
        <v>1407</v>
      </c>
      <c r="O13" s="5" t="s">
        <v>1479</v>
      </c>
      <c r="P13" s="5" t="s">
        <v>1480</v>
      </c>
      <c r="Q13" s="5" t="s">
        <v>206</v>
      </c>
      <c r="R13" s="5" t="s">
        <v>224</v>
      </c>
      <c r="S13" s="8">
        <v>4</v>
      </c>
      <c r="T13" s="8">
        <v>7</v>
      </c>
      <c r="U13" s="8" t="s">
        <v>1481</v>
      </c>
      <c r="V13" s="5" t="s">
        <v>1482</v>
      </c>
      <c r="W13" s="5" t="s">
        <v>1483</v>
      </c>
      <c r="X13" s="5"/>
      <c r="Y13" s="6" t="s">
        <v>1484</v>
      </c>
    </row>
    <row r="14" spans="1:25" ht="20" customHeight="1" x14ac:dyDescent="0.2">
      <c r="A14" s="4" t="s">
        <v>86</v>
      </c>
      <c r="B14" s="5" t="s">
        <v>87</v>
      </c>
      <c r="C14" s="6" t="s">
        <v>273</v>
      </c>
      <c r="D14" s="6" t="s">
        <v>1485</v>
      </c>
      <c r="E14" s="6" t="s">
        <v>202</v>
      </c>
      <c r="F14" s="9" t="s">
        <v>1318</v>
      </c>
      <c r="G14" s="19" t="s">
        <v>1486</v>
      </c>
      <c r="H14" s="5" t="s">
        <v>1487</v>
      </c>
      <c r="I14" s="5" t="s">
        <v>1488</v>
      </c>
      <c r="J14" s="5"/>
      <c r="K14" s="6" t="s">
        <v>274</v>
      </c>
      <c r="L14" s="5" t="s">
        <v>1489</v>
      </c>
      <c r="M14" s="5" t="s">
        <v>1490</v>
      </c>
      <c r="N14" s="5" t="s">
        <v>1491</v>
      </c>
      <c r="O14" s="5" t="s">
        <v>1492</v>
      </c>
      <c r="P14" s="5" t="s">
        <v>1493</v>
      </c>
      <c r="Q14" s="5" t="s">
        <v>1459</v>
      </c>
      <c r="R14" s="5" t="s">
        <v>224</v>
      </c>
      <c r="S14" s="8">
        <v>2</v>
      </c>
      <c r="T14" s="8">
        <v>4</v>
      </c>
      <c r="U14" s="8" t="s">
        <v>1494</v>
      </c>
      <c r="V14" s="5" t="s">
        <v>1495</v>
      </c>
      <c r="W14" s="5" t="s">
        <v>1496</v>
      </c>
      <c r="X14" s="5"/>
      <c r="Y14" s="6" t="s">
        <v>1497</v>
      </c>
    </row>
    <row r="15" spans="1:25" ht="20" customHeight="1" x14ac:dyDescent="0.2">
      <c r="A15" s="4" t="s">
        <v>86</v>
      </c>
      <c r="B15" s="5" t="s">
        <v>87</v>
      </c>
      <c r="C15" s="6" t="s">
        <v>289</v>
      </c>
      <c r="D15" s="6" t="s">
        <v>1498</v>
      </c>
      <c r="E15" s="6" t="s">
        <v>202</v>
      </c>
      <c r="F15" s="9" t="s">
        <v>1318</v>
      </c>
      <c r="G15" s="19" t="s">
        <v>1499</v>
      </c>
      <c r="H15" s="5" t="s">
        <v>1500</v>
      </c>
      <c r="I15" s="5" t="s">
        <v>286</v>
      </c>
      <c r="J15" s="5"/>
      <c r="K15" s="6" t="s">
        <v>290</v>
      </c>
      <c r="L15" s="5" t="s">
        <v>1501</v>
      </c>
      <c r="M15" s="5" t="s">
        <v>1502</v>
      </c>
      <c r="N15" s="5" t="s">
        <v>1407</v>
      </c>
      <c r="O15" s="5" t="s">
        <v>1503</v>
      </c>
      <c r="P15" s="5" t="s">
        <v>1504</v>
      </c>
      <c r="Q15" s="5" t="s">
        <v>1459</v>
      </c>
      <c r="R15" s="5" t="s">
        <v>224</v>
      </c>
      <c r="S15" s="8">
        <v>3</v>
      </c>
      <c r="T15" s="8">
        <v>8</v>
      </c>
      <c r="U15" s="8" t="s">
        <v>1505</v>
      </c>
      <c r="V15" s="5" t="s">
        <v>1506</v>
      </c>
      <c r="W15" s="5" t="s">
        <v>1507</v>
      </c>
      <c r="X15" s="5"/>
      <c r="Y15" s="6" t="s">
        <v>1508</v>
      </c>
    </row>
    <row r="16" spans="1:25" ht="20" customHeight="1" x14ac:dyDescent="0.2">
      <c r="A16" s="4" t="s">
        <v>86</v>
      </c>
      <c r="B16" s="5" t="s">
        <v>87</v>
      </c>
      <c r="C16" s="6" t="s">
        <v>233</v>
      </c>
      <c r="D16" s="6" t="s">
        <v>1509</v>
      </c>
      <c r="E16" s="6" t="s">
        <v>202</v>
      </c>
      <c r="F16" s="9" t="s">
        <v>1318</v>
      </c>
      <c r="G16" s="19" t="s">
        <v>1510</v>
      </c>
      <c r="H16" s="5" t="s">
        <v>1511</v>
      </c>
      <c r="I16" s="5" t="s">
        <v>229</v>
      </c>
      <c r="J16" s="5"/>
      <c r="K16" s="6" t="s">
        <v>234</v>
      </c>
      <c r="L16" s="5" t="s">
        <v>1512</v>
      </c>
      <c r="M16" s="5" t="s">
        <v>1513</v>
      </c>
      <c r="N16" s="5" t="s">
        <v>1407</v>
      </c>
      <c r="O16" s="5" t="s">
        <v>1514</v>
      </c>
      <c r="P16" s="5" t="s">
        <v>1515</v>
      </c>
      <c r="Q16" s="5" t="s">
        <v>537</v>
      </c>
      <c r="R16" s="5" t="s">
        <v>224</v>
      </c>
      <c r="S16" s="8">
        <v>3</v>
      </c>
      <c r="T16" s="8">
        <v>6</v>
      </c>
      <c r="U16" s="8" t="s">
        <v>1516</v>
      </c>
      <c r="V16" s="5" t="s">
        <v>1517</v>
      </c>
      <c r="W16" s="5" t="s">
        <v>1518</v>
      </c>
      <c r="X16" s="5"/>
      <c r="Y16" s="6" t="s">
        <v>1519</v>
      </c>
    </row>
    <row r="17" spans="1:25" ht="20" customHeight="1" x14ac:dyDescent="0.2">
      <c r="A17" s="4" t="s">
        <v>86</v>
      </c>
      <c r="B17" s="5" t="s">
        <v>87</v>
      </c>
      <c r="C17" s="6" t="s">
        <v>1520</v>
      </c>
      <c r="D17" s="6" t="s">
        <v>1521</v>
      </c>
      <c r="E17" s="6" t="s">
        <v>202</v>
      </c>
      <c r="F17" s="9" t="s">
        <v>1318</v>
      </c>
      <c r="G17" s="19" t="s">
        <v>1522</v>
      </c>
      <c r="H17" s="5" t="s">
        <v>1523</v>
      </c>
      <c r="I17" s="5" t="s">
        <v>1524</v>
      </c>
      <c r="J17" s="5"/>
      <c r="K17" s="6" t="s">
        <v>1525</v>
      </c>
      <c r="L17" s="5" t="s">
        <v>1526</v>
      </c>
      <c r="M17" s="5" t="s">
        <v>1527</v>
      </c>
      <c r="N17" s="5" t="s">
        <v>1407</v>
      </c>
      <c r="O17" s="5" t="s">
        <v>1528</v>
      </c>
      <c r="P17" s="5" t="s">
        <v>1529</v>
      </c>
      <c r="Q17" s="5" t="s">
        <v>1459</v>
      </c>
      <c r="R17" s="5" t="s">
        <v>224</v>
      </c>
      <c r="S17" s="8">
        <v>7</v>
      </c>
      <c r="T17" s="8">
        <v>6</v>
      </c>
      <c r="U17" s="8" t="s">
        <v>1530</v>
      </c>
      <c r="V17" s="5" t="s">
        <v>1531</v>
      </c>
      <c r="W17" s="5" t="s">
        <v>1532</v>
      </c>
      <c r="X17" s="5"/>
      <c r="Y17" s="6" t="s">
        <v>1533</v>
      </c>
    </row>
    <row r="18" spans="1:25" ht="20" customHeight="1" x14ac:dyDescent="0.2">
      <c r="A18" s="4" t="s">
        <v>86</v>
      </c>
      <c r="B18" s="5" t="s">
        <v>87</v>
      </c>
      <c r="C18" s="6" t="s">
        <v>265</v>
      </c>
      <c r="D18" s="6" t="s">
        <v>1534</v>
      </c>
      <c r="E18" s="6" t="s">
        <v>202</v>
      </c>
      <c r="F18" s="9" t="s">
        <v>1318</v>
      </c>
      <c r="G18" s="19" t="s">
        <v>1535</v>
      </c>
      <c r="H18" s="5" t="s">
        <v>1536</v>
      </c>
      <c r="I18" s="5" t="s">
        <v>262</v>
      </c>
      <c r="J18" s="5"/>
      <c r="K18" s="6" t="s">
        <v>266</v>
      </c>
      <c r="L18" s="5" t="s">
        <v>1537</v>
      </c>
      <c r="M18" s="5" t="s">
        <v>1538</v>
      </c>
      <c r="N18" s="5" t="s">
        <v>1407</v>
      </c>
      <c r="O18" s="5" t="s">
        <v>1539</v>
      </c>
      <c r="P18" s="5" t="s">
        <v>206</v>
      </c>
      <c r="Q18" s="5" t="s">
        <v>1150</v>
      </c>
      <c r="R18" s="5" t="s">
        <v>224</v>
      </c>
      <c r="S18" s="8">
        <v>3</v>
      </c>
      <c r="T18" s="8">
        <v>5</v>
      </c>
      <c r="U18" s="8" t="s">
        <v>1540</v>
      </c>
      <c r="V18" s="5" t="s">
        <v>1541</v>
      </c>
      <c r="W18" s="5" t="s">
        <v>1542</v>
      </c>
      <c r="X18" s="5"/>
      <c r="Y18" s="6" t="s">
        <v>1543</v>
      </c>
    </row>
    <row r="19" spans="1:25" ht="20" customHeight="1" x14ac:dyDescent="0.2">
      <c r="A19" s="4" t="s">
        <v>86</v>
      </c>
      <c r="B19" s="5" t="s">
        <v>87</v>
      </c>
      <c r="C19" s="6" t="s">
        <v>297</v>
      </c>
      <c r="D19" s="6" t="s">
        <v>1544</v>
      </c>
      <c r="E19" s="6" t="s">
        <v>202</v>
      </c>
      <c r="F19" s="9" t="s">
        <v>1318</v>
      </c>
      <c r="G19" s="19" t="s">
        <v>1545</v>
      </c>
      <c r="H19" s="5" t="s">
        <v>1407</v>
      </c>
      <c r="I19" s="5" t="s">
        <v>294</v>
      </c>
      <c r="J19" s="5"/>
      <c r="K19" s="6" t="s">
        <v>298</v>
      </c>
      <c r="L19" s="5" t="s">
        <v>1546</v>
      </c>
      <c r="M19" s="5" t="s">
        <v>1547</v>
      </c>
      <c r="N19" s="5" t="s">
        <v>1407</v>
      </c>
      <c r="O19" s="5" t="s">
        <v>1548</v>
      </c>
      <c r="P19" s="5" t="s">
        <v>206</v>
      </c>
      <c r="Q19" s="5" t="s">
        <v>1459</v>
      </c>
      <c r="R19" s="5" t="s">
        <v>224</v>
      </c>
      <c r="S19" s="8">
        <v>3</v>
      </c>
      <c r="T19" s="8">
        <v>5</v>
      </c>
      <c r="U19" s="8" t="s">
        <v>1549</v>
      </c>
      <c r="V19" s="5" t="s">
        <v>1550</v>
      </c>
      <c r="W19" s="5" t="s">
        <v>1551</v>
      </c>
      <c r="X19" s="5"/>
      <c r="Y19" s="6" t="s">
        <v>1552</v>
      </c>
    </row>
    <row r="20" spans="1:25" ht="20" customHeight="1" x14ac:dyDescent="0.2">
      <c r="A20" s="4" t="s">
        <v>86</v>
      </c>
      <c r="B20" s="5" t="s">
        <v>87</v>
      </c>
      <c r="C20" s="6" t="s">
        <v>241</v>
      </c>
      <c r="D20" s="6" t="s">
        <v>1553</v>
      </c>
      <c r="E20" s="6" t="s">
        <v>202</v>
      </c>
      <c r="F20" s="9" t="s">
        <v>1318</v>
      </c>
      <c r="G20" s="19" t="s">
        <v>1554</v>
      </c>
      <c r="H20" s="5" t="s">
        <v>1407</v>
      </c>
      <c r="I20" s="5" t="s">
        <v>238</v>
      </c>
      <c r="J20" s="5"/>
      <c r="K20" s="6" t="s">
        <v>242</v>
      </c>
      <c r="L20" s="5" t="s">
        <v>1555</v>
      </c>
      <c r="M20" s="5" t="s">
        <v>1556</v>
      </c>
      <c r="N20" s="5" t="s">
        <v>1407</v>
      </c>
      <c r="O20" s="5" t="s">
        <v>242</v>
      </c>
      <c r="P20" s="5" t="s">
        <v>206</v>
      </c>
      <c r="Q20" s="5" t="s">
        <v>1459</v>
      </c>
      <c r="R20" s="5" t="s">
        <v>224</v>
      </c>
      <c r="S20" s="8">
        <v>3</v>
      </c>
      <c r="T20" s="8">
        <v>4</v>
      </c>
      <c r="U20" s="8" t="s">
        <v>1407</v>
      </c>
      <c r="V20" s="5" t="s">
        <v>1557</v>
      </c>
      <c r="W20" s="5" t="s">
        <v>1558</v>
      </c>
      <c r="X20" s="5"/>
      <c r="Y20" s="6" t="s">
        <v>1559</v>
      </c>
    </row>
    <row r="21" spans="1:25" ht="20" customHeight="1" x14ac:dyDescent="0.2">
      <c r="A21" s="4" t="s">
        <v>86</v>
      </c>
      <c r="B21" s="5" t="s">
        <v>87</v>
      </c>
      <c r="C21" s="6" t="s">
        <v>249</v>
      </c>
      <c r="D21" s="6" t="s">
        <v>1560</v>
      </c>
      <c r="E21" s="6" t="s">
        <v>202</v>
      </c>
      <c r="F21" s="9" t="s">
        <v>1318</v>
      </c>
      <c r="G21" s="19" t="s">
        <v>1561</v>
      </c>
      <c r="H21" s="5" t="s">
        <v>1407</v>
      </c>
      <c r="I21" s="5" t="s">
        <v>246</v>
      </c>
      <c r="J21" s="5"/>
      <c r="K21" s="6" t="s">
        <v>250</v>
      </c>
      <c r="L21" s="5" t="s">
        <v>1562</v>
      </c>
      <c r="M21" s="5" t="s">
        <v>1563</v>
      </c>
      <c r="N21" s="5" t="s">
        <v>1407</v>
      </c>
      <c r="O21" s="5" t="s">
        <v>1564</v>
      </c>
      <c r="P21" s="5" t="s">
        <v>206</v>
      </c>
      <c r="Q21" s="5" t="s">
        <v>224</v>
      </c>
      <c r="R21" s="5" t="s">
        <v>224</v>
      </c>
      <c r="S21" s="8">
        <v>3</v>
      </c>
      <c r="T21" s="8">
        <v>5</v>
      </c>
      <c r="U21" s="8" t="s">
        <v>1407</v>
      </c>
      <c r="V21" s="5" t="s">
        <v>1565</v>
      </c>
      <c r="W21" s="5" t="s">
        <v>1566</v>
      </c>
      <c r="X21" s="5"/>
      <c r="Y21" s="6" t="s">
        <v>1567</v>
      </c>
    </row>
    <row r="22" spans="1:25" ht="20" customHeight="1" x14ac:dyDescent="0.2">
      <c r="A22" s="4" t="s">
        <v>86</v>
      </c>
      <c r="B22" s="5" t="s">
        <v>87</v>
      </c>
      <c r="C22" s="6" t="s">
        <v>257</v>
      </c>
      <c r="D22" s="6" t="s">
        <v>1568</v>
      </c>
      <c r="E22" s="6" t="s">
        <v>202</v>
      </c>
      <c r="F22" s="9" t="s">
        <v>1318</v>
      </c>
      <c r="G22" s="19" t="s">
        <v>1569</v>
      </c>
      <c r="H22" s="5" t="s">
        <v>1407</v>
      </c>
      <c r="I22" s="5" t="s">
        <v>1570</v>
      </c>
      <c r="J22" s="5"/>
      <c r="K22" s="6" t="s">
        <v>258</v>
      </c>
      <c r="L22" s="5" t="s">
        <v>1571</v>
      </c>
      <c r="M22" s="5" t="s">
        <v>1572</v>
      </c>
      <c r="N22" s="5" t="s">
        <v>1407</v>
      </c>
      <c r="O22" s="5" t="s">
        <v>258</v>
      </c>
      <c r="P22" s="5" t="s">
        <v>206</v>
      </c>
      <c r="Q22" s="5" t="s">
        <v>1459</v>
      </c>
      <c r="R22" s="5" t="s">
        <v>224</v>
      </c>
      <c r="S22" s="8">
        <v>4</v>
      </c>
      <c r="T22" s="8">
        <v>5</v>
      </c>
      <c r="U22" s="8" t="s">
        <v>1407</v>
      </c>
      <c r="V22" s="5" t="s">
        <v>1573</v>
      </c>
      <c r="W22" s="5" t="s">
        <v>1574</v>
      </c>
      <c r="X22" s="5"/>
      <c r="Y22" s="6" t="s">
        <v>1575</v>
      </c>
    </row>
    <row r="23" spans="1:25" ht="20" customHeight="1" x14ac:dyDescent="0.2">
      <c r="A23" s="4" t="s">
        <v>86</v>
      </c>
      <c r="B23" s="5" t="s">
        <v>87</v>
      </c>
      <c r="C23" s="6" t="s">
        <v>1576</v>
      </c>
      <c r="D23" s="6" t="s">
        <v>1577</v>
      </c>
      <c r="E23" s="6" t="s">
        <v>202</v>
      </c>
      <c r="F23" s="9" t="s">
        <v>1318</v>
      </c>
      <c r="G23" s="19" t="s">
        <v>1578</v>
      </c>
      <c r="H23" s="5" t="s">
        <v>1407</v>
      </c>
      <c r="I23" s="5" t="s">
        <v>1579</v>
      </c>
      <c r="J23" s="5"/>
      <c r="K23" s="6" t="s">
        <v>124</v>
      </c>
      <c r="L23" s="5" t="s">
        <v>1580</v>
      </c>
      <c r="M23" s="5" t="s">
        <v>124</v>
      </c>
      <c r="N23" s="5" t="s">
        <v>1407</v>
      </c>
      <c r="O23" s="5" t="s">
        <v>124</v>
      </c>
      <c r="P23" s="5" t="s">
        <v>206</v>
      </c>
      <c r="Q23" s="5" t="s">
        <v>1459</v>
      </c>
      <c r="R23" s="5" t="s">
        <v>224</v>
      </c>
      <c r="S23" s="8">
        <v>4</v>
      </c>
      <c r="T23" s="8">
        <v>5</v>
      </c>
      <c r="U23" s="8" t="s">
        <v>1407</v>
      </c>
      <c r="V23" s="5" t="s">
        <v>1581</v>
      </c>
      <c r="W23" s="5" t="s">
        <v>1582</v>
      </c>
      <c r="X23" s="5"/>
      <c r="Y23" s="6" t="s">
        <v>1583</v>
      </c>
    </row>
    <row r="24" spans="1:25" ht="20" customHeight="1" x14ac:dyDescent="0.2">
      <c r="A24" s="4" t="s">
        <v>86</v>
      </c>
      <c r="B24" s="5" t="s">
        <v>87</v>
      </c>
      <c r="C24" s="6" t="s">
        <v>281</v>
      </c>
      <c r="D24" s="6" t="s">
        <v>1584</v>
      </c>
      <c r="E24" s="6" t="s">
        <v>202</v>
      </c>
      <c r="F24" s="10" t="s">
        <v>1320</v>
      </c>
      <c r="G24" s="19" t="s">
        <v>1585</v>
      </c>
      <c r="H24" s="5" t="s">
        <v>1586</v>
      </c>
      <c r="I24" s="5" t="s">
        <v>278</v>
      </c>
      <c r="J24" s="5"/>
      <c r="K24" s="6" t="s">
        <v>282</v>
      </c>
      <c r="L24" s="5" t="s">
        <v>1587</v>
      </c>
      <c r="M24" s="5" t="s">
        <v>1588</v>
      </c>
      <c r="N24" s="5" t="s">
        <v>1407</v>
      </c>
      <c r="O24" s="5" t="s">
        <v>1589</v>
      </c>
      <c r="P24" s="5" t="s">
        <v>206</v>
      </c>
      <c r="Q24" s="5" t="s">
        <v>1459</v>
      </c>
      <c r="R24" s="5" t="s">
        <v>224</v>
      </c>
      <c r="S24" s="8">
        <v>2</v>
      </c>
      <c r="T24" s="8">
        <v>4</v>
      </c>
      <c r="U24" s="8" t="s">
        <v>1590</v>
      </c>
      <c r="V24" s="5" t="s">
        <v>1591</v>
      </c>
      <c r="W24" s="5" t="s">
        <v>1592</v>
      </c>
      <c r="X24" s="5"/>
      <c r="Y24" s="6" t="s">
        <v>1593</v>
      </c>
    </row>
    <row r="25" spans="1:25" ht="20" customHeight="1" x14ac:dyDescent="0.2">
      <c r="A25" s="4" t="s">
        <v>86</v>
      </c>
      <c r="B25" s="5" t="s">
        <v>87</v>
      </c>
      <c r="C25" s="6" t="s">
        <v>317</v>
      </c>
      <c r="D25" s="6" t="s">
        <v>1594</v>
      </c>
      <c r="E25" s="6" t="s">
        <v>202</v>
      </c>
      <c r="F25" s="9" t="s">
        <v>1318</v>
      </c>
      <c r="G25" s="19" t="s">
        <v>1595</v>
      </c>
      <c r="H25" s="5" t="s">
        <v>1407</v>
      </c>
      <c r="I25" s="5" t="s">
        <v>313</v>
      </c>
      <c r="J25" s="5"/>
      <c r="K25" s="6" t="s">
        <v>124</v>
      </c>
      <c r="L25" s="5" t="s">
        <v>1596</v>
      </c>
      <c r="M25" s="5" t="s">
        <v>124</v>
      </c>
      <c r="N25" s="5" t="s">
        <v>1407</v>
      </c>
      <c r="O25" s="5" t="s">
        <v>124</v>
      </c>
      <c r="P25" s="5" t="s">
        <v>206</v>
      </c>
      <c r="Q25" s="5" t="s">
        <v>1459</v>
      </c>
      <c r="R25" s="5" t="s">
        <v>224</v>
      </c>
      <c r="S25" s="8">
        <v>2</v>
      </c>
      <c r="T25" s="8">
        <v>4</v>
      </c>
      <c r="U25" s="8" t="s">
        <v>1407</v>
      </c>
      <c r="V25" s="5" t="s">
        <v>1597</v>
      </c>
      <c r="W25" s="5" t="s">
        <v>1598</v>
      </c>
      <c r="X25" s="5"/>
      <c r="Y25" s="6" t="s">
        <v>1599</v>
      </c>
    </row>
    <row r="26" spans="1:25" ht="20" customHeight="1" x14ac:dyDescent="0.2">
      <c r="A26" s="4" t="s">
        <v>86</v>
      </c>
      <c r="B26" s="5" t="s">
        <v>87</v>
      </c>
      <c r="C26" s="6" t="s">
        <v>309</v>
      </c>
      <c r="D26" s="6" t="s">
        <v>1600</v>
      </c>
      <c r="E26" s="6" t="s">
        <v>202</v>
      </c>
      <c r="F26" s="10" t="s">
        <v>1320</v>
      </c>
      <c r="G26" s="19" t="s">
        <v>1601</v>
      </c>
      <c r="H26" s="5" t="s">
        <v>1407</v>
      </c>
      <c r="I26" s="5" t="s">
        <v>306</v>
      </c>
      <c r="J26" s="5"/>
      <c r="K26" s="6" t="s">
        <v>124</v>
      </c>
      <c r="L26" s="5" t="s">
        <v>1602</v>
      </c>
      <c r="M26" s="5" t="s">
        <v>124</v>
      </c>
      <c r="N26" s="5" t="s">
        <v>1407</v>
      </c>
      <c r="O26" s="5" t="s">
        <v>124</v>
      </c>
      <c r="P26" s="5" t="s">
        <v>206</v>
      </c>
      <c r="Q26" s="5" t="s">
        <v>1459</v>
      </c>
      <c r="R26" s="5" t="s">
        <v>224</v>
      </c>
      <c r="S26" s="8">
        <v>2</v>
      </c>
      <c r="T26" s="8">
        <v>4</v>
      </c>
      <c r="U26" s="8" t="s">
        <v>1407</v>
      </c>
      <c r="V26" s="5" t="s">
        <v>1603</v>
      </c>
      <c r="W26" s="5" t="s">
        <v>1604</v>
      </c>
      <c r="X26" s="5"/>
      <c r="Y26" s="6" t="s">
        <v>1605</v>
      </c>
    </row>
    <row r="27" spans="1:25" ht="20" customHeight="1" x14ac:dyDescent="0.2">
      <c r="A27" s="4" t="s">
        <v>86</v>
      </c>
      <c r="B27" s="5" t="s">
        <v>87</v>
      </c>
      <c r="C27" s="6" t="s">
        <v>1606</v>
      </c>
      <c r="D27" s="6" t="s">
        <v>1607</v>
      </c>
      <c r="E27" s="6" t="s">
        <v>202</v>
      </c>
      <c r="F27" s="10" t="s">
        <v>1320</v>
      </c>
      <c r="G27" s="19" t="s">
        <v>1608</v>
      </c>
      <c r="H27" s="5" t="s">
        <v>1407</v>
      </c>
      <c r="I27" s="5" t="s">
        <v>1238</v>
      </c>
      <c r="J27" s="5"/>
      <c r="K27" s="6" t="s">
        <v>124</v>
      </c>
      <c r="L27" s="5" t="s">
        <v>1609</v>
      </c>
      <c r="M27" s="5" t="s">
        <v>124</v>
      </c>
      <c r="N27" s="5" t="s">
        <v>1407</v>
      </c>
      <c r="O27" s="5" t="s">
        <v>124</v>
      </c>
      <c r="P27" s="5" t="s">
        <v>206</v>
      </c>
      <c r="Q27" s="5" t="s">
        <v>1459</v>
      </c>
      <c r="R27" s="5" t="s">
        <v>224</v>
      </c>
      <c r="S27" s="8">
        <v>2</v>
      </c>
      <c r="T27" s="8">
        <v>3</v>
      </c>
      <c r="U27" s="8" t="s">
        <v>1407</v>
      </c>
      <c r="V27" s="5" t="s">
        <v>1610</v>
      </c>
      <c r="W27" s="5" t="s">
        <v>1611</v>
      </c>
      <c r="X27" s="5"/>
      <c r="Y27" s="6" t="s">
        <v>1612</v>
      </c>
    </row>
    <row r="28" spans="1:25" ht="20" customHeight="1" x14ac:dyDescent="0.2">
      <c r="A28" s="4" t="s">
        <v>86</v>
      </c>
      <c r="B28" s="5" t="s">
        <v>87</v>
      </c>
      <c r="C28" s="6" t="s">
        <v>1613</v>
      </c>
      <c r="D28" s="6" t="s">
        <v>1614</v>
      </c>
      <c r="E28" s="6" t="s">
        <v>202</v>
      </c>
      <c r="F28" s="10" t="s">
        <v>1320</v>
      </c>
      <c r="G28" s="19" t="s">
        <v>1615</v>
      </c>
      <c r="H28" s="5" t="s">
        <v>1407</v>
      </c>
      <c r="I28" s="5" t="s">
        <v>1616</v>
      </c>
      <c r="J28" s="5"/>
      <c r="K28" s="6" t="s">
        <v>124</v>
      </c>
      <c r="L28" s="5" t="s">
        <v>1617</v>
      </c>
      <c r="M28" s="5" t="s">
        <v>124</v>
      </c>
      <c r="N28" s="5" t="s">
        <v>1407</v>
      </c>
      <c r="O28" s="5" t="s">
        <v>124</v>
      </c>
      <c r="P28" s="5" t="s">
        <v>206</v>
      </c>
      <c r="Q28" s="5" t="s">
        <v>1459</v>
      </c>
      <c r="R28" s="5" t="s">
        <v>224</v>
      </c>
      <c r="S28" s="8">
        <v>2</v>
      </c>
      <c r="T28" s="8">
        <v>3</v>
      </c>
      <c r="U28" s="8" t="s">
        <v>1407</v>
      </c>
      <c r="V28" s="5" t="s">
        <v>1618</v>
      </c>
      <c r="W28" s="5" t="s">
        <v>1619</v>
      </c>
      <c r="X28" s="5"/>
      <c r="Y28" s="6" t="s">
        <v>1620</v>
      </c>
    </row>
    <row r="29" spans="1:25" ht="20" customHeight="1" x14ac:dyDescent="0.2">
      <c r="A29" s="4" t="s">
        <v>86</v>
      </c>
      <c r="B29" s="5" t="s">
        <v>87</v>
      </c>
      <c r="C29" s="6" t="s">
        <v>403</v>
      </c>
      <c r="D29" s="6" t="s">
        <v>1621</v>
      </c>
      <c r="E29" s="6" t="s">
        <v>382</v>
      </c>
      <c r="F29" s="9" t="s">
        <v>1318</v>
      </c>
      <c r="G29" s="19" t="s">
        <v>1622</v>
      </c>
      <c r="H29" s="5" t="s">
        <v>1586</v>
      </c>
      <c r="I29" s="5" t="s">
        <v>399</v>
      </c>
      <c r="J29" s="5"/>
      <c r="K29" s="6" t="s">
        <v>404</v>
      </c>
      <c r="L29" s="5" t="s">
        <v>1623</v>
      </c>
      <c r="M29" s="5" t="s">
        <v>1624</v>
      </c>
      <c r="N29" s="5" t="s">
        <v>1407</v>
      </c>
      <c r="O29" s="5" t="s">
        <v>1625</v>
      </c>
      <c r="P29" s="5" t="s">
        <v>1354</v>
      </c>
      <c r="Q29" s="5" t="s">
        <v>1367</v>
      </c>
      <c r="R29" s="5" t="s">
        <v>1422</v>
      </c>
      <c r="S29" s="8">
        <v>6</v>
      </c>
      <c r="T29" s="8">
        <v>7</v>
      </c>
      <c r="U29" s="8" t="s">
        <v>1626</v>
      </c>
      <c r="V29" s="5" t="s">
        <v>1627</v>
      </c>
      <c r="W29" s="5" t="s">
        <v>1628</v>
      </c>
      <c r="X29" s="5"/>
      <c r="Y29" s="6" t="s">
        <v>1629</v>
      </c>
    </row>
    <row r="30" spans="1:25" ht="20" customHeight="1" x14ac:dyDescent="0.2">
      <c r="A30" s="4" t="s">
        <v>86</v>
      </c>
      <c r="B30" s="5" t="s">
        <v>87</v>
      </c>
      <c r="C30" s="6" t="s">
        <v>418</v>
      </c>
      <c r="D30" s="6" t="s">
        <v>1630</v>
      </c>
      <c r="E30" s="6" t="s">
        <v>382</v>
      </c>
      <c r="F30" s="9" t="s">
        <v>1318</v>
      </c>
      <c r="G30" s="19" t="s">
        <v>1631</v>
      </c>
      <c r="H30" s="5" t="s">
        <v>1407</v>
      </c>
      <c r="I30" s="5" t="s">
        <v>415</v>
      </c>
      <c r="J30" s="5"/>
      <c r="K30" s="6" t="s">
        <v>419</v>
      </c>
      <c r="L30" s="5" t="s">
        <v>1632</v>
      </c>
      <c r="M30" s="5" t="s">
        <v>1633</v>
      </c>
      <c r="N30" s="5" t="s">
        <v>1407</v>
      </c>
      <c r="O30" s="5" t="s">
        <v>1634</v>
      </c>
      <c r="P30" s="5" t="s">
        <v>1367</v>
      </c>
      <c r="Q30" s="5" t="s">
        <v>426</v>
      </c>
      <c r="R30" s="5" t="s">
        <v>1422</v>
      </c>
      <c r="S30" s="8">
        <v>4</v>
      </c>
      <c r="T30" s="8">
        <v>6</v>
      </c>
      <c r="U30" s="8" t="s">
        <v>1635</v>
      </c>
      <c r="V30" s="5" t="s">
        <v>1636</v>
      </c>
      <c r="W30" s="5" t="s">
        <v>1637</v>
      </c>
      <c r="X30" s="5"/>
      <c r="Y30" s="6" t="s">
        <v>1638</v>
      </c>
    </row>
    <row r="31" spans="1:25" ht="20" customHeight="1" x14ac:dyDescent="0.2">
      <c r="A31" s="4" t="s">
        <v>86</v>
      </c>
      <c r="B31" s="5" t="s">
        <v>87</v>
      </c>
      <c r="C31" s="6" t="s">
        <v>426</v>
      </c>
      <c r="D31" s="6" t="s">
        <v>1639</v>
      </c>
      <c r="E31" s="6" t="s">
        <v>382</v>
      </c>
      <c r="F31" s="9" t="s">
        <v>1318</v>
      </c>
      <c r="G31" s="19" t="s">
        <v>1640</v>
      </c>
      <c r="H31" s="5" t="s">
        <v>1407</v>
      </c>
      <c r="I31" s="5" t="s">
        <v>1641</v>
      </c>
      <c r="J31" s="5"/>
      <c r="K31" s="6" t="s">
        <v>427</v>
      </c>
      <c r="L31" s="5" t="s">
        <v>1642</v>
      </c>
      <c r="M31" s="5" t="s">
        <v>1643</v>
      </c>
      <c r="N31" s="5" t="s">
        <v>1407</v>
      </c>
      <c r="O31" s="5" t="s">
        <v>1644</v>
      </c>
      <c r="P31" s="5" t="s">
        <v>537</v>
      </c>
      <c r="Q31" s="5" t="s">
        <v>1645</v>
      </c>
      <c r="R31" s="5" t="s">
        <v>1422</v>
      </c>
      <c r="S31" s="8">
        <v>4</v>
      </c>
      <c r="T31" s="8">
        <v>6</v>
      </c>
      <c r="U31" s="8" t="s">
        <v>1646</v>
      </c>
      <c r="V31" s="5" t="s">
        <v>1647</v>
      </c>
      <c r="W31" s="5" t="s">
        <v>1648</v>
      </c>
      <c r="X31" s="5"/>
      <c r="Y31" s="6" t="s">
        <v>1649</v>
      </c>
    </row>
    <row r="32" spans="1:25" ht="20" customHeight="1" x14ac:dyDescent="0.2">
      <c r="A32" s="4" t="s">
        <v>86</v>
      </c>
      <c r="B32" s="5" t="s">
        <v>87</v>
      </c>
      <c r="C32" s="6" t="s">
        <v>456</v>
      </c>
      <c r="D32" s="6" t="s">
        <v>1650</v>
      </c>
      <c r="E32" s="6" t="s">
        <v>382</v>
      </c>
      <c r="F32" s="9" t="s">
        <v>1318</v>
      </c>
      <c r="G32" s="19" t="s">
        <v>1651</v>
      </c>
      <c r="H32" s="5" t="s">
        <v>1407</v>
      </c>
      <c r="I32" s="5" t="s">
        <v>453</v>
      </c>
      <c r="J32" s="5"/>
      <c r="K32" s="6" t="s">
        <v>457</v>
      </c>
      <c r="L32" s="5" t="s">
        <v>1652</v>
      </c>
      <c r="M32" s="5" t="s">
        <v>1653</v>
      </c>
      <c r="N32" s="5" t="s">
        <v>1407</v>
      </c>
      <c r="O32" s="5" t="s">
        <v>1654</v>
      </c>
      <c r="P32" s="5" t="s">
        <v>1655</v>
      </c>
      <c r="Q32" s="5" t="s">
        <v>1150</v>
      </c>
      <c r="R32" s="5" t="s">
        <v>1422</v>
      </c>
      <c r="S32" s="8">
        <v>4</v>
      </c>
      <c r="T32" s="8">
        <v>6</v>
      </c>
      <c r="U32" s="8" t="s">
        <v>1656</v>
      </c>
      <c r="V32" s="5" t="s">
        <v>1657</v>
      </c>
      <c r="W32" s="5" t="s">
        <v>1658</v>
      </c>
      <c r="X32" s="5"/>
      <c r="Y32" s="6" t="s">
        <v>1659</v>
      </c>
    </row>
    <row r="33" spans="1:25" ht="20" customHeight="1" x14ac:dyDescent="0.2">
      <c r="A33" s="4" t="s">
        <v>86</v>
      </c>
      <c r="B33" s="5" t="s">
        <v>87</v>
      </c>
      <c r="C33" s="6" t="s">
        <v>411</v>
      </c>
      <c r="D33" s="6" t="s">
        <v>1660</v>
      </c>
      <c r="E33" s="6" t="s">
        <v>382</v>
      </c>
      <c r="F33" s="9" t="s">
        <v>1318</v>
      </c>
      <c r="G33" s="19" t="s">
        <v>1661</v>
      </c>
      <c r="H33" s="5" t="s">
        <v>1407</v>
      </c>
      <c r="I33" s="5" t="s">
        <v>408</v>
      </c>
      <c r="J33" s="5"/>
      <c r="K33" s="6" t="s">
        <v>1662</v>
      </c>
      <c r="L33" s="5" t="s">
        <v>1663</v>
      </c>
      <c r="M33" s="5" t="s">
        <v>124</v>
      </c>
      <c r="N33" s="5" t="s">
        <v>1407</v>
      </c>
      <c r="O33" s="5" t="s">
        <v>124</v>
      </c>
      <c r="P33" s="5" t="s">
        <v>1459</v>
      </c>
      <c r="Q33" s="5" t="s">
        <v>537</v>
      </c>
      <c r="R33" s="5" t="s">
        <v>1422</v>
      </c>
      <c r="S33" s="8">
        <v>3</v>
      </c>
      <c r="T33" s="8">
        <v>5</v>
      </c>
      <c r="U33" s="8" t="s">
        <v>1407</v>
      </c>
      <c r="V33" s="5" t="s">
        <v>1664</v>
      </c>
      <c r="W33" s="5" t="s">
        <v>1665</v>
      </c>
      <c r="X33" s="5"/>
      <c r="Y33" s="6" t="s">
        <v>1666</v>
      </c>
    </row>
    <row r="34" spans="1:25" ht="20" customHeight="1" x14ac:dyDescent="0.2">
      <c r="A34" s="4" t="s">
        <v>86</v>
      </c>
      <c r="B34" s="5" t="s">
        <v>87</v>
      </c>
      <c r="C34" s="6" t="s">
        <v>441</v>
      </c>
      <c r="D34" s="6" t="s">
        <v>1667</v>
      </c>
      <c r="E34" s="6" t="s">
        <v>382</v>
      </c>
      <c r="F34" s="9" t="s">
        <v>1318</v>
      </c>
      <c r="G34" s="19" t="s">
        <v>1668</v>
      </c>
      <c r="H34" s="5" t="s">
        <v>1407</v>
      </c>
      <c r="I34" s="5" t="s">
        <v>1669</v>
      </c>
      <c r="J34" s="5"/>
      <c r="K34" s="6" t="s">
        <v>442</v>
      </c>
      <c r="L34" s="5" t="s">
        <v>1670</v>
      </c>
      <c r="M34" s="5" t="s">
        <v>124</v>
      </c>
      <c r="N34" s="5" t="s">
        <v>1407</v>
      </c>
      <c r="O34" s="5" t="s">
        <v>442</v>
      </c>
      <c r="P34" s="5" t="s">
        <v>1367</v>
      </c>
      <c r="Q34" s="5" t="s">
        <v>537</v>
      </c>
      <c r="R34" s="5" t="s">
        <v>1422</v>
      </c>
      <c r="S34" s="8">
        <v>3</v>
      </c>
      <c r="T34" s="8">
        <v>4</v>
      </c>
      <c r="U34" s="8" t="s">
        <v>1407</v>
      </c>
      <c r="V34" s="5" t="s">
        <v>1671</v>
      </c>
      <c r="W34" s="5" t="s">
        <v>1672</v>
      </c>
      <c r="X34" s="5"/>
      <c r="Y34" s="6" t="s">
        <v>1673</v>
      </c>
    </row>
    <row r="35" spans="1:25" ht="20" customHeight="1" x14ac:dyDescent="0.2">
      <c r="A35" s="4" t="s">
        <v>86</v>
      </c>
      <c r="B35" s="5" t="s">
        <v>87</v>
      </c>
      <c r="C35" s="6" t="s">
        <v>463</v>
      </c>
      <c r="D35" s="6" t="s">
        <v>1674</v>
      </c>
      <c r="E35" s="6" t="s">
        <v>382</v>
      </c>
      <c r="F35" s="9" t="s">
        <v>1318</v>
      </c>
      <c r="G35" s="19" t="s">
        <v>1675</v>
      </c>
      <c r="H35" s="5" t="s">
        <v>1407</v>
      </c>
      <c r="I35" s="5" t="s">
        <v>460</v>
      </c>
      <c r="J35" s="5"/>
      <c r="K35" s="6" t="s">
        <v>124</v>
      </c>
      <c r="L35" s="5" t="s">
        <v>1676</v>
      </c>
      <c r="M35" s="5" t="s">
        <v>124</v>
      </c>
      <c r="N35" s="5" t="s">
        <v>1407</v>
      </c>
      <c r="O35" s="5" t="s">
        <v>124</v>
      </c>
      <c r="P35" s="5" t="s">
        <v>1459</v>
      </c>
      <c r="Q35" s="5" t="s">
        <v>1459</v>
      </c>
      <c r="R35" s="5" t="s">
        <v>1422</v>
      </c>
      <c r="S35" s="8">
        <v>3</v>
      </c>
      <c r="T35" s="8">
        <v>5</v>
      </c>
      <c r="U35" s="8" t="s">
        <v>1407</v>
      </c>
      <c r="V35" s="5" t="s">
        <v>1677</v>
      </c>
      <c r="W35" s="5" t="s">
        <v>1678</v>
      </c>
      <c r="X35" s="5"/>
      <c r="Y35" s="6" t="s">
        <v>1679</v>
      </c>
    </row>
    <row r="36" spans="1:25" ht="20" customHeight="1" x14ac:dyDescent="0.2">
      <c r="A36" s="4" t="s">
        <v>86</v>
      </c>
      <c r="B36" s="5" t="s">
        <v>87</v>
      </c>
      <c r="C36" s="6" t="s">
        <v>515</v>
      </c>
      <c r="D36" s="6" t="s">
        <v>1680</v>
      </c>
      <c r="E36" s="6" t="s">
        <v>382</v>
      </c>
      <c r="F36" s="9" t="s">
        <v>1318</v>
      </c>
      <c r="G36" s="19" t="s">
        <v>1675</v>
      </c>
      <c r="H36" s="5" t="s">
        <v>1407</v>
      </c>
      <c r="I36" s="5" t="s">
        <v>512</v>
      </c>
      <c r="J36" s="5"/>
      <c r="K36" s="6" t="s">
        <v>124</v>
      </c>
      <c r="L36" s="5" t="s">
        <v>1681</v>
      </c>
      <c r="M36" s="5" t="s">
        <v>124</v>
      </c>
      <c r="N36" s="5" t="s">
        <v>1407</v>
      </c>
      <c r="O36" s="5" t="s">
        <v>124</v>
      </c>
      <c r="P36" s="5" t="s">
        <v>1367</v>
      </c>
      <c r="Q36" s="5" t="s">
        <v>1459</v>
      </c>
      <c r="R36" s="5" t="s">
        <v>1422</v>
      </c>
      <c r="S36" s="8">
        <v>3</v>
      </c>
      <c r="T36" s="8">
        <v>5</v>
      </c>
      <c r="U36" s="8" t="s">
        <v>1407</v>
      </c>
      <c r="V36" s="5" t="s">
        <v>1682</v>
      </c>
      <c r="W36" s="5" t="s">
        <v>1683</v>
      </c>
      <c r="X36" s="5"/>
      <c r="Y36" s="6" t="s">
        <v>1684</v>
      </c>
    </row>
    <row r="37" spans="1:25" ht="20" customHeight="1" x14ac:dyDescent="0.2">
      <c r="A37" s="4" t="s">
        <v>86</v>
      </c>
      <c r="B37" s="5" t="s">
        <v>87</v>
      </c>
      <c r="C37" s="6" t="s">
        <v>433</v>
      </c>
      <c r="D37" s="6" t="s">
        <v>1685</v>
      </c>
      <c r="E37" s="6" t="s">
        <v>382</v>
      </c>
      <c r="F37" s="9" t="s">
        <v>1318</v>
      </c>
      <c r="G37" s="19" t="s">
        <v>1686</v>
      </c>
      <c r="H37" s="5" t="s">
        <v>1407</v>
      </c>
      <c r="I37" s="5" t="s">
        <v>430</v>
      </c>
      <c r="J37" s="5"/>
      <c r="K37" s="6" t="s">
        <v>434</v>
      </c>
      <c r="L37" s="5" t="s">
        <v>1687</v>
      </c>
      <c r="M37" s="5" t="s">
        <v>124</v>
      </c>
      <c r="N37" s="5" t="s">
        <v>1407</v>
      </c>
      <c r="O37" s="5" t="s">
        <v>434</v>
      </c>
      <c r="P37" s="5" t="s">
        <v>1367</v>
      </c>
      <c r="Q37" s="5" t="s">
        <v>1459</v>
      </c>
      <c r="R37" s="5" t="s">
        <v>1422</v>
      </c>
      <c r="S37" s="8">
        <v>3</v>
      </c>
      <c r="T37" s="8">
        <v>4</v>
      </c>
      <c r="U37" s="8" t="s">
        <v>1688</v>
      </c>
      <c r="V37" s="5" t="s">
        <v>1689</v>
      </c>
      <c r="W37" s="5" t="s">
        <v>1690</v>
      </c>
      <c r="X37" s="5"/>
      <c r="Y37" s="6" t="s">
        <v>1691</v>
      </c>
    </row>
    <row r="38" spans="1:25" ht="20" customHeight="1" x14ac:dyDescent="0.2">
      <c r="A38" s="4" t="s">
        <v>86</v>
      </c>
      <c r="B38" s="5" t="s">
        <v>87</v>
      </c>
      <c r="C38" s="6" t="s">
        <v>449</v>
      </c>
      <c r="D38" s="6" t="s">
        <v>1692</v>
      </c>
      <c r="E38" s="6" t="s">
        <v>382</v>
      </c>
      <c r="F38" s="9" t="s">
        <v>1318</v>
      </c>
      <c r="G38" s="19" t="s">
        <v>1693</v>
      </c>
      <c r="H38" s="5" t="s">
        <v>1407</v>
      </c>
      <c r="I38" s="5" t="s">
        <v>446</v>
      </c>
      <c r="J38" s="5"/>
      <c r="K38" s="6" t="s">
        <v>124</v>
      </c>
      <c r="L38" s="5" t="s">
        <v>1694</v>
      </c>
      <c r="M38" s="5" t="s">
        <v>124</v>
      </c>
      <c r="N38" s="5" t="s">
        <v>1407</v>
      </c>
      <c r="O38" s="5" t="s">
        <v>124</v>
      </c>
      <c r="P38" s="5" t="s">
        <v>1367</v>
      </c>
      <c r="Q38" s="5" t="s">
        <v>1459</v>
      </c>
      <c r="R38" s="5" t="s">
        <v>1422</v>
      </c>
      <c r="S38" s="8">
        <v>2</v>
      </c>
      <c r="T38" s="8">
        <v>3</v>
      </c>
      <c r="U38" s="8" t="s">
        <v>1407</v>
      </c>
      <c r="V38" s="5" t="s">
        <v>1695</v>
      </c>
      <c r="W38" s="5" t="s">
        <v>1696</v>
      </c>
      <c r="X38" s="5"/>
      <c r="Y38" s="6" t="s">
        <v>1697</v>
      </c>
    </row>
    <row r="39" spans="1:25" ht="20" customHeight="1" x14ac:dyDescent="0.2">
      <c r="A39" s="4" t="s">
        <v>86</v>
      </c>
      <c r="B39" s="5" t="s">
        <v>87</v>
      </c>
      <c r="C39" s="6" t="s">
        <v>1698</v>
      </c>
      <c r="D39" s="6" t="s">
        <v>1699</v>
      </c>
      <c r="E39" s="6" t="s">
        <v>382</v>
      </c>
      <c r="F39" s="9" t="s">
        <v>1318</v>
      </c>
      <c r="G39" s="19" t="s">
        <v>1700</v>
      </c>
      <c r="H39" s="5" t="s">
        <v>1407</v>
      </c>
      <c r="I39" s="5" t="s">
        <v>392</v>
      </c>
      <c r="J39" s="5"/>
      <c r="K39" s="6" t="s">
        <v>1701</v>
      </c>
      <c r="L39" s="5" t="s">
        <v>1702</v>
      </c>
      <c r="M39" s="5" t="s">
        <v>124</v>
      </c>
      <c r="N39" s="5" t="s">
        <v>1407</v>
      </c>
      <c r="O39" s="5" t="s">
        <v>124</v>
      </c>
      <c r="P39" s="5" t="s">
        <v>1459</v>
      </c>
      <c r="Q39" s="5" t="s">
        <v>1459</v>
      </c>
      <c r="R39" s="5" t="s">
        <v>1422</v>
      </c>
      <c r="S39" s="8">
        <v>3</v>
      </c>
      <c r="T39" s="8">
        <v>4</v>
      </c>
      <c r="U39" s="8" t="s">
        <v>1407</v>
      </c>
      <c r="V39" s="5" t="s">
        <v>1703</v>
      </c>
      <c r="W39" s="5" t="s">
        <v>1704</v>
      </c>
      <c r="X39" s="5"/>
      <c r="Y39" s="6" t="s">
        <v>1705</v>
      </c>
    </row>
    <row r="40" spans="1:25" ht="20" customHeight="1" x14ac:dyDescent="0.2">
      <c r="A40" s="4" t="s">
        <v>86</v>
      </c>
      <c r="B40" s="5" t="s">
        <v>87</v>
      </c>
      <c r="C40" s="6" t="s">
        <v>1706</v>
      </c>
      <c r="D40" s="6" t="s">
        <v>1707</v>
      </c>
      <c r="E40" s="6" t="s">
        <v>382</v>
      </c>
      <c r="F40" s="10" t="s">
        <v>1320</v>
      </c>
      <c r="G40" s="19" t="s">
        <v>1708</v>
      </c>
      <c r="H40" s="5" t="s">
        <v>1407</v>
      </c>
      <c r="I40" s="5" t="s">
        <v>1709</v>
      </c>
      <c r="J40" s="5"/>
      <c r="K40" s="6" t="s">
        <v>124</v>
      </c>
      <c r="L40" s="5" t="s">
        <v>1710</v>
      </c>
      <c r="M40" s="5" t="s">
        <v>124</v>
      </c>
      <c r="N40" s="5" t="s">
        <v>1407</v>
      </c>
      <c r="O40" s="5" t="s">
        <v>124</v>
      </c>
      <c r="P40" s="5" t="s">
        <v>537</v>
      </c>
      <c r="Q40" s="5" t="s">
        <v>206</v>
      </c>
      <c r="R40" s="5" t="s">
        <v>1422</v>
      </c>
      <c r="S40" s="8">
        <v>2</v>
      </c>
      <c r="T40" s="8">
        <v>3</v>
      </c>
      <c r="U40" s="8" t="s">
        <v>1407</v>
      </c>
      <c r="V40" s="5" t="s">
        <v>1711</v>
      </c>
      <c r="W40" s="5" t="s">
        <v>1712</v>
      </c>
      <c r="X40" s="5"/>
      <c r="Y40" s="6" t="s">
        <v>1713</v>
      </c>
    </row>
    <row r="41" spans="1:25" ht="20" customHeight="1" x14ac:dyDescent="0.2">
      <c r="A41" s="4" t="s">
        <v>86</v>
      </c>
      <c r="B41" s="5" t="s">
        <v>87</v>
      </c>
      <c r="C41" s="6" t="s">
        <v>1714</v>
      </c>
      <c r="D41" s="6" t="s">
        <v>1715</v>
      </c>
      <c r="E41" s="6" t="s">
        <v>382</v>
      </c>
      <c r="F41" s="10" t="s">
        <v>1320</v>
      </c>
      <c r="G41" s="19" t="s">
        <v>1716</v>
      </c>
      <c r="H41" s="5" t="s">
        <v>1407</v>
      </c>
      <c r="I41" s="5" t="s">
        <v>1717</v>
      </c>
      <c r="J41" s="5"/>
      <c r="K41" s="6" t="s">
        <v>124</v>
      </c>
      <c r="L41" s="5" t="s">
        <v>1718</v>
      </c>
      <c r="M41" s="5" t="s">
        <v>124</v>
      </c>
      <c r="N41" s="5" t="s">
        <v>1407</v>
      </c>
      <c r="O41" s="5" t="s">
        <v>124</v>
      </c>
      <c r="P41" s="5" t="s">
        <v>1367</v>
      </c>
      <c r="Q41" s="5" t="s">
        <v>1459</v>
      </c>
      <c r="R41" s="5" t="s">
        <v>1422</v>
      </c>
      <c r="S41" s="8">
        <v>2</v>
      </c>
      <c r="T41" s="8">
        <v>3</v>
      </c>
      <c r="U41" s="8" t="s">
        <v>1407</v>
      </c>
      <c r="V41" s="5" t="s">
        <v>1719</v>
      </c>
      <c r="W41" s="5" t="s">
        <v>1720</v>
      </c>
      <c r="X41" s="5"/>
      <c r="Y41" s="6" t="s">
        <v>1721</v>
      </c>
    </row>
    <row r="42" spans="1:25" ht="20" customHeight="1" x14ac:dyDescent="0.2">
      <c r="A42" s="4" t="s">
        <v>86</v>
      </c>
      <c r="B42" s="5" t="s">
        <v>87</v>
      </c>
      <c r="C42" s="6" t="s">
        <v>563</v>
      </c>
      <c r="D42" s="6" t="s">
        <v>1722</v>
      </c>
      <c r="E42" s="6" t="s">
        <v>533</v>
      </c>
      <c r="F42" s="9" t="s">
        <v>1318</v>
      </c>
      <c r="G42" s="19" t="s">
        <v>1723</v>
      </c>
      <c r="H42" s="5" t="s">
        <v>1407</v>
      </c>
      <c r="I42" s="5" t="s">
        <v>560</v>
      </c>
      <c r="J42" s="5"/>
      <c r="K42" s="6" t="s">
        <v>564</v>
      </c>
      <c r="L42" s="5" t="s">
        <v>1724</v>
      </c>
      <c r="M42" s="5" t="s">
        <v>124</v>
      </c>
      <c r="N42" s="5" t="s">
        <v>1407</v>
      </c>
      <c r="O42" s="5" t="s">
        <v>564</v>
      </c>
      <c r="P42" s="5" t="s">
        <v>537</v>
      </c>
      <c r="Q42" s="5" t="s">
        <v>1459</v>
      </c>
      <c r="R42" s="5" t="s">
        <v>1368</v>
      </c>
      <c r="S42" s="8">
        <v>5</v>
      </c>
      <c r="T42" s="8">
        <v>6</v>
      </c>
      <c r="U42" s="8" t="s">
        <v>1407</v>
      </c>
      <c r="V42" s="5" t="s">
        <v>1725</v>
      </c>
      <c r="W42" s="5" t="s">
        <v>1726</v>
      </c>
      <c r="X42" s="5"/>
      <c r="Y42" s="6" t="s">
        <v>1727</v>
      </c>
    </row>
    <row r="43" spans="1:25" ht="20" customHeight="1" x14ac:dyDescent="0.2">
      <c r="A43" s="4" t="s">
        <v>86</v>
      </c>
      <c r="B43" s="5" t="s">
        <v>87</v>
      </c>
      <c r="C43" s="6" t="s">
        <v>557</v>
      </c>
      <c r="D43" s="6" t="s">
        <v>1728</v>
      </c>
      <c r="E43" s="6" t="s">
        <v>533</v>
      </c>
      <c r="F43" s="9" t="s">
        <v>1318</v>
      </c>
      <c r="G43" s="19" t="s">
        <v>1729</v>
      </c>
      <c r="H43" s="5" t="s">
        <v>1407</v>
      </c>
      <c r="I43" s="5" t="s">
        <v>554</v>
      </c>
      <c r="J43" s="5"/>
      <c r="K43" s="6" t="s">
        <v>558</v>
      </c>
      <c r="L43" s="5" t="s">
        <v>1730</v>
      </c>
      <c r="M43" s="5" t="s">
        <v>1731</v>
      </c>
      <c r="N43" s="5" t="s">
        <v>1407</v>
      </c>
      <c r="O43" s="5" t="s">
        <v>1732</v>
      </c>
      <c r="P43" s="5" t="s">
        <v>537</v>
      </c>
      <c r="Q43" s="5" t="s">
        <v>1459</v>
      </c>
      <c r="R43" s="5" t="s">
        <v>1368</v>
      </c>
      <c r="S43" s="8">
        <v>4</v>
      </c>
      <c r="T43" s="8">
        <v>6</v>
      </c>
      <c r="U43" s="8" t="s">
        <v>1407</v>
      </c>
      <c r="V43" s="5" t="s">
        <v>1733</v>
      </c>
      <c r="W43" s="5" t="s">
        <v>1734</v>
      </c>
      <c r="X43" s="5"/>
      <c r="Y43" s="6" t="s">
        <v>1735</v>
      </c>
    </row>
    <row r="44" spans="1:25" ht="20" customHeight="1" x14ac:dyDescent="0.2">
      <c r="A44" s="4" t="s">
        <v>86</v>
      </c>
      <c r="B44" s="5" t="s">
        <v>87</v>
      </c>
      <c r="C44" s="6" t="s">
        <v>593</v>
      </c>
      <c r="D44" s="6" t="s">
        <v>1736</v>
      </c>
      <c r="E44" s="6" t="s">
        <v>533</v>
      </c>
      <c r="F44" s="9" t="s">
        <v>1318</v>
      </c>
      <c r="G44" s="19" t="s">
        <v>1737</v>
      </c>
      <c r="H44" s="5" t="s">
        <v>1407</v>
      </c>
      <c r="I44" s="5" t="s">
        <v>1738</v>
      </c>
      <c r="J44" s="5"/>
      <c r="K44" s="6" t="s">
        <v>594</v>
      </c>
      <c r="L44" s="5" t="s">
        <v>1739</v>
      </c>
      <c r="M44" s="5" t="s">
        <v>124</v>
      </c>
      <c r="N44" s="5" t="s">
        <v>1407</v>
      </c>
      <c r="O44" s="5" t="s">
        <v>1740</v>
      </c>
      <c r="P44" s="5" t="s">
        <v>537</v>
      </c>
      <c r="Q44" s="5" t="s">
        <v>1459</v>
      </c>
      <c r="R44" s="5" t="s">
        <v>1368</v>
      </c>
      <c r="S44" s="8">
        <v>4</v>
      </c>
      <c r="T44" s="8">
        <v>5</v>
      </c>
      <c r="U44" s="8" t="s">
        <v>1407</v>
      </c>
      <c r="V44" s="5" t="s">
        <v>1741</v>
      </c>
      <c r="W44" s="5" t="s">
        <v>1742</v>
      </c>
      <c r="X44" s="5"/>
      <c r="Y44" s="6" t="s">
        <v>1743</v>
      </c>
    </row>
    <row r="45" spans="1:25" ht="20" customHeight="1" x14ac:dyDescent="0.2">
      <c r="A45" s="4" t="s">
        <v>86</v>
      </c>
      <c r="B45" s="5" t="s">
        <v>87</v>
      </c>
      <c r="C45" s="6" t="s">
        <v>569</v>
      </c>
      <c r="D45" s="6" t="s">
        <v>1744</v>
      </c>
      <c r="E45" s="6" t="s">
        <v>533</v>
      </c>
      <c r="F45" s="9" t="s">
        <v>1318</v>
      </c>
      <c r="G45" s="19" t="s">
        <v>1745</v>
      </c>
      <c r="H45" s="5" t="s">
        <v>1407</v>
      </c>
      <c r="I45" s="5" t="s">
        <v>566</v>
      </c>
      <c r="J45" s="5"/>
      <c r="K45" s="6" t="s">
        <v>124</v>
      </c>
      <c r="L45" s="5" t="s">
        <v>1746</v>
      </c>
      <c r="M45" s="5" t="s">
        <v>124</v>
      </c>
      <c r="N45" s="5" t="s">
        <v>1407</v>
      </c>
      <c r="O45" s="5" t="s">
        <v>124</v>
      </c>
      <c r="P45" s="5" t="s">
        <v>537</v>
      </c>
      <c r="Q45" s="5" t="s">
        <v>1459</v>
      </c>
      <c r="R45" s="5" t="s">
        <v>1368</v>
      </c>
      <c r="S45" s="8">
        <v>4</v>
      </c>
      <c r="T45" s="8">
        <v>5</v>
      </c>
      <c r="U45" s="8" t="s">
        <v>1407</v>
      </c>
      <c r="V45" s="5" t="s">
        <v>1747</v>
      </c>
      <c r="W45" s="5" t="s">
        <v>1696</v>
      </c>
      <c r="X45" s="5"/>
      <c r="Y45" s="6" t="s">
        <v>1748</v>
      </c>
    </row>
    <row r="46" spans="1:25" ht="20" customHeight="1" x14ac:dyDescent="0.2">
      <c r="A46" s="4" t="s">
        <v>86</v>
      </c>
      <c r="B46" s="5" t="s">
        <v>87</v>
      </c>
      <c r="C46" s="6" t="s">
        <v>1749</v>
      </c>
      <c r="D46" s="6" t="s">
        <v>1750</v>
      </c>
      <c r="E46" s="6" t="s">
        <v>533</v>
      </c>
      <c r="F46" s="9" t="s">
        <v>1318</v>
      </c>
      <c r="G46" s="19" t="s">
        <v>1751</v>
      </c>
      <c r="H46" s="5" t="s">
        <v>1407</v>
      </c>
      <c r="I46" s="5" t="s">
        <v>1752</v>
      </c>
      <c r="J46" s="5"/>
      <c r="K46" s="6" t="s">
        <v>124</v>
      </c>
      <c r="L46" s="5" t="s">
        <v>1753</v>
      </c>
      <c r="M46" s="5" t="s">
        <v>124</v>
      </c>
      <c r="N46" s="5" t="s">
        <v>1407</v>
      </c>
      <c r="O46" s="5" t="s">
        <v>124</v>
      </c>
      <c r="P46" s="5" t="s">
        <v>537</v>
      </c>
      <c r="Q46" s="5" t="s">
        <v>1459</v>
      </c>
      <c r="R46" s="5" t="s">
        <v>1368</v>
      </c>
      <c r="S46" s="8">
        <v>4</v>
      </c>
      <c r="T46" s="8">
        <v>5</v>
      </c>
      <c r="U46" s="8" t="s">
        <v>1407</v>
      </c>
      <c r="V46" s="5" t="s">
        <v>1754</v>
      </c>
      <c r="W46" s="5" t="s">
        <v>1755</v>
      </c>
      <c r="X46" s="5"/>
      <c r="Y46" s="6" t="s">
        <v>1756</v>
      </c>
    </row>
    <row r="47" spans="1:25" ht="20" customHeight="1" x14ac:dyDescent="0.2">
      <c r="A47" s="4" t="s">
        <v>86</v>
      </c>
      <c r="B47" s="5" t="s">
        <v>87</v>
      </c>
      <c r="C47" s="6" t="s">
        <v>574</v>
      </c>
      <c r="D47" s="6" t="s">
        <v>1757</v>
      </c>
      <c r="E47" s="6" t="s">
        <v>533</v>
      </c>
      <c r="F47" s="9" t="s">
        <v>1318</v>
      </c>
      <c r="G47" s="19" t="s">
        <v>1758</v>
      </c>
      <c r="H47" s="5" t="s">
        <v>1407</v>
      </c>
      <c r="I47" s="5" t="s">
        <v>571</v>
      </c>
      <c r="J47" s="5"/>
      <c r="K47" s="6" t="s">
        <v>124</v>
      </c>
      <c r="L47" s="5" t="s">
        <v>1759</v>
      </c>
      <c r="M47" s="5" t="s">
        <v>124</v>
      </c>
      <c r="N47" s="5" t="s">
        <v>1407</v>
      </c>
      <c r="O47" s="5" t="s">
        <v>124</v>
      </c>
      <c r="P47" s="5" t="s">
        <v>537</v>
      </c>
      <c r="Q47" s="5" t="s">
        <v>1459</v>
      </c>
      <c r="R47" s="5" t="s">
        <v>1368</v>
      </c>
      <c r="S47" s="8">
        <v>4</v>
      </c>
      <c r="T47" s="8">
        <v>5</v>
      </c>
      <c r="U47" s="8" t="s">
        <v>1407</v>
      </c>
      <c r="V47" s="5" t="s">
        <v>1760</v>
      </c>
      <c r="W47" s="5" t="s">
        <v>1761</v>
      </c>
      <c r="X47" s="5"/>
      <c r="Y47" s="6" t="s">
        <v>1762</v>
      </c>
    </row>
    <row r="48" spans="1:25" ht="20" customHeight="1" x14ac:dyDescent="0.2">
      <c r="A48" s="4" t="s">
        <v>86</v>
      </c>
      <c r="B48" s="5" t="s">
        <v>87</v>
      </c>
      <c r="C48" s="6" t="s">
        <v>599</v>
      </c>
      <c r="D48" s="6" t="s">
        <v>1763</v>
      </c>
      <c r="E48" s="6" t="s">
        <v>533</v>
      </c>
      <c r="F48" s="9" t="s">
        <v>1318</v>
      </c>
      <c r="G48" s="19" t="s">
        <v>1764</v>
      </c>
      <c r="H48" s="5" t="s">
        <v>1407</v>
      </c>
      <c r="I48" s="5" t="s">
        <v>596</v>
      </c>
      <c r="J48" s="5"/>
      <c r="K48" s="6" t="s">
        <v>124</v>
      </c>
      <c r="L48" s="5" t="s">
        <v>1765</v>
      </c>
      <c r="M48" s="5" t="s">
        <v>124</v>
      </c>
      <c r="N48" s="5" t="s">
        <v>1407</v>
      </c>
      <c r="O48" s="5" t="s">
        <v>124</v>
      </c>
      <c r="P48" s="5" t="s">
        <v>537</v>
      </c>
      <c r="Q48" s="5" t="s">
        <v>1459</v>
      </c>
      <c r="R48" s="5" t="s">
        <v>1368</v>
      </c>
      <c r="S48" s="8">
        <v>3</v>
      </c>
      <c r="T48" s="8">
        <v>4</v>
      </c>
      <c r="U48" s="8" t="s">
        <v>1407</v>
      </c>
      <c r="V48" s="5" t="s">
        <v>1766</v>
      </c>
      <c r="W48" s="5" t="s">
        <v>1767</v>
      </c>
      <c r="X48" s="5"/>
      <c r="Y48" s="6" t="s">
        <v>1768</v>
      </c>
    </row>
    <row r="49" spans="1:25" ht="20" customHeight="1" x14ac:dyDescent="0.2">
      <c r="A49" s="4" t="s">
        <v>86</v>
      </c>
      <c r="B49" s="5" t="s">
        <v>87</v>
      </c>
      <c r="C49" s="6" t="s">
        <v>622</v>
      </c>
      <c r="D49" s="6" t="s">
        <v>1769</v>
      </c>
      <c r="E49" s="6" t="s">
        <v>533</v>
      </c>
      <c r="F49" s="9" t="s">
        <v>1318</v>
      </c>
      <c r="G49" s="19" t="s">
        <v>1770</v>
      </c>
      <c r="H49" s="5" t="s">
        <v>1407</v>
      </c>
      <c r="I49" s="5" t="s">
        <v>619</v>
      </c>
      <c r="J49" s="5"/>
      <c r="K49" s="6" t="s">
        <v>124</v>
      </c>
      <c r="L49" s="5" t="s">
        <v>1771</v>
      </c>
      <c r="M49" s="5" t="s">
        <v>124</v>
      </c>
      <c r="N49" s="5" t="s">
        <v>1407</v>
      </c>
      <c r="O49" s="5" t="s">
        <v>124</v>
      </c>
      <c r="P49" s="5" t="s">
        <v>537</v>
      </c>
      <c r="Q49" s="5" t="s">
        <v>1459</v>
      </c>
      <c r="R49" s="5" t="s">
        <v>1368</v>
      </c>
      <c r="S49" s="8">
        <v>4</v>
      </c>
      <c r="T49" s="8">
        <v>5</v>
      </c>
      <c r="U49" s="8" t="s">
        <v>1407</v>
      </c>
      <c r="V49" s="5" t="s">
        <v>1747</v>
      </c>
      <c r="W49" s="5" t="s">
        <v>1772</v>
      </c>
      <c r="X49" s="5"/>
      <c r="Y49" s="6" t="s">
        <v>1773</v>
      </c>
    </row>
    <row r="50" spans="1:25" ht="20" customHeight="1" x14ac:dyDescent="0.2">
      <c r="A50" s="4" t="s">
        <v>86</v>
      </c>
      <c r="B50" s="5" t="s">
        <v>87</v>
      </c>
      <c r="C50" s="6" t="s">
        <v>586</v>
      </c>
      <c r="D50" s="6" t="s">
        <v>1774</v>
      </c>
      <c r="E50" s="6" t="s">
        <v>533</v>
      </c>
      <c r="F50" s="10" t="s">
        <v>1322</v>
      </c>
      <c r="G50" s="19" t="s">
        <v>1775</v>
      </c>
      <c r="H50" s="5" t="s">
        <v>1407</v>
      </c>
      <c r="I50" s="5" t="s">
        <v>583</v>
      </c>
      <c r="J50" s="5"/>
      <c r="K50" s="6" t="s">
        <v>124</v>
      </c>
      <c r="L50" s="5" t="s">
        <v>1776</v>
      </c>
      <c r="M50" s="5" t="s">
        <v>124</v>
      </c>
      <c r="N50" s="5" t="s">
        <v>1407</v>
      </c>
      <c r="O50" s="5" t="s">
        <v>124</v>
      </c>
      <c r="P50" s="5" t="s">
        <v>537</v>
      </c>
      <c r="Q50" s="5" t="s">
        <v>1459</v>
      </c>
      <c r="R50" s="5" t="s">
        <v>1368</v>
      </c>
      <c r="S50" s="8">
        <v>2</v>
      </c>
      <c r="T50" s="8">
        <v>3</v>
      </c>
      <c r="U50" s="8" t="s">
        <v>1407</v>
      </c>
      <c r="V50" s="5" t="s">
        <v>1766</v>
      </c>
      <c r="W50" s="5" t="s">
        <v>1777</v>
      </c>
      <c r="X50" s="5"/>
      <c r="Y50" s="6" t="s">
        <v>1778</v>
      </c>
    </row>
    <row r="51" spans="1:25" ht="20" customHeight="1" x14ac:dyDescent="0.2">
      <c r="A51" s="4" t="s">
        <v>86</v>
      </c>
      <c r="B51" s="5" t="s">
        <v>87</v>
      </c>
      <c r="C51" s="6" t="s">
        <v>1779</v>
      </c>
      <c r="D51" s="6" t="s">
        <v>1780</v>
      </c>
      <c r="E51" s="6" t="s">
        <v>533</v>
      </c>
      <c r="F51" s="10" t="s">
        <v>1322</v>
      </c>
      <c r="G51" s="19" t="s">
        <v>1781</v>
      </c>
      <c r="H51" s="5" t="s">
        <v>1407</v>
      </c>
      <c r="I51" s="5" t="s">
        <v>1782</v>
      </c>
      <c r="J51" s="5"/>
      <c r="K51" s="6" t="s">
        <v>1783</v>
      </c>
      <c r="L51" s="5" t="s">
        <v>1784</v>
      </c>
      <c r="M51" s="5" t="s">
        <v>124</v>
      </c>
      <c r="N51" s="5" t="s">
        <v>1407</v>
      </c>
      <c r="O51" s="5" t="s">
        <v>1785</v>
      </c>
      <c r="P51" s="5" t="s">
        <v>537</v>
      </c>
      <c r="Q51" s="5" t="s">
        <v>1459</v>
      </c>
      <c r="R51" s="5" t="s">
        <v>1368</v>
      </c>
      <c r="S51" s="8">
        <v>2</v>
      </c>
      <c r="T51" s="8">
        <v>5</v>
      </c>
      <c r="U51" s="8" t="s">
        <v>1786</v>
      </c>
      <c r="V51" s="5" t="s">
        <v>1787</v>
      </c>
      <c r="W51" s="5" t="s">
        <v>1788</v>
      </c>
      <c r="X51" s="5"/>
      <c r="Y51" s="6" t="s">
        <v>1789</v>
      </c>
    </row>
    <row r="52" spans="1:25" ht="20" customHeight="1" x14ac:dyDescent="0.2">
      <c r="A52" s="4" t="s">
        <v>86</v>
      </c>
      <c r="B52" s="5" t="s">
        <v>87</v>
      </c>
      <c r="C52" s="6" t="s">
        <v>616</v>
      </c>
      <c r="D52" s="6" t="s">
        <v>1790</v>
      </c>
      <c r="E52" s="6" t="s">
        <v>533</v>
      </c>
      <c r="F52" s="9" t="s">
        <v>1318</v>
      </c>
      <c r="G52" s="19" t="s">
        <v>1791</v>
      </c>
      <c r="H52" s="5" t="s">
        <v>1407</v>
      </c>
      <c r="I52" s="5" t="s">
        <v>613</v>
      </c>
      <c r="J52" s="5"/>
      <c r="K52" s="6" t="s">
        <v>124</v>
      </c>
      <c r="L52" s="5" t="s">
        <v>1792</v>
      </c>
      <c r="M52" s="5" t="s">
        <v>124</v>
      </c>
      <c r="N52" s="5" t="s">
        <v>1407</v>
      </c>
      <c r="O52" s="5" t="s">
        <v>124</v>
      </c>
      <c r="P52" s="5" t="s">
        <v>537</v>
      </c>
      <c r="Q52" s="5" t="s">
        <v>1459</v>
      </c>
      <c r="R52" s="5" t="s">
        <v>1368</v>
      </c>
      <c r="S52" s="8">
        <v>3</v>
      </c>
      <c r="T52" s="8">
        <v>4</v>
      </c>
      <c r="U52" s="8" t="s">
        <v>1407</v>
      </c>
      <c r="V52" s="5" t="s">
        <v>1766</v>
      </c>
      <c r="W52" s="5" t="s">
        <v>1793</v>
      </c>
      <c r="X52" s="5"/>
      <c r="Y52" s="6" t="s">
        <v>1794</v>
      </c>
    </row>
    <row r="53" spans="1:25" ht="20" customHeight="1" x14ac:dyDescent="0.2">
      <c r="A53" s="4" t="s">
        <v>86</v>
      </c>
      <c r="B53" s="5" t="s">
        <v>87</v>
      </c>
      <c r="C53" s="6" t="s">
        <v>1795</v>
      </c>
      <c r="D53" s="6" t="s">
        <v>1796</v>
      </c>
      <c r="E53" s="6" t="s">
        <v>533</v>
      </c>
      <c r="F53" s="9" t="s">
        <v>1318</v>
      </c>
      <c r="G53" s="19" t="s">
        <v>1797</v>
      </c>
      <c r="H53" s="5" t="s">
        <v>1407</v>
      </c>
      <c r="I53" s="5" t="s">
        <v>542</v>
      </c>
      <c r="J53" s="5"/>
      <c r="K53" s="6" t="s">
        <v>124</v>
      </c>
      <c r="L53" s="5" t="s">
        <v>1798</v>
      </c>
      <c r="M53" s="5" t="s">
        <v>124</v>
      </c>
      <c r="N53" s="5" t="s">
        <v>1407</v>
      </c>
      <c r="O53" s="5" t="s">
        <v>124</v>
      </c>
      <c r="P53" s="5" t="s">
        <v>537</v>
      </c>
      <c r="Q53" s="5" t="s">
        <v>1459</v>
      </c>
      <c r="R53" s="5" t="s">
        <v>1368</v>
      </c>
      <c r="S53" s="8">
        <v>3</v>
      </c>
      <c r="T53" s="8">
        <v>3</v>
      </c>
      <c r="U53" s="8" t="s">
        <v>1407</v>
      </c>
      <c r="V53" s="5" t="s">
        <v>1747</v>
      </c>
      <c r="W53" s="5" t="s">
        <v>1799</v>
      </c>
      <c r="X53" s="5"/>
      <c r="Y53" s="6" t="s">
        <v>1800</v>
      </c>
    </row>
    <row r="54" spans="1:25" ht="20" customHeight="1" x14ac:dyDescent="0.2">
      <c r="A54" s="4" t="s">
        <v>86</v>
      </c>
      <c r="B54" s="5" t="s">
        <v>87</v>
      </c>
      <c r="C54" s="6" t="s">
        <v>1801</v>
      </c>
      <c r="D54" s="6" t="s">
        <v>1802</v>
      </c>
      <c r="E54" s="6" t="s">
        <v>631</v>
      </c>
      <c r="F54" s="9" t="s">
        <v>1318</v>
      </c>
      <c r="G54" s="19" t="s">
        <v>1803</v>
      </c>
      <c r="H54" s="5" t="s">
        <v>1804</v>
      </c>
      <c r="I54" s="5" t="s">
        <v>1805</v>
      </c>
      <c r="J54" s="5"/>
      <c r="K54" s="6" t="s">
        <v>1806</v>
      </c>
      <c r="L54" s="5" t="s">
        <v>1807</v>
      </c>
      <c r="M54" s="5" t="s">
        <v>1808</v>
      </c>
      <c r="N54" s="5" t="s">
        <v>1407</v>
      </c>
      <c r="O54" s="5" t="s">
        <v>1809</v>
      </c>
      <c r="P54" s="5" t="s">
        <v>634</v>
      </c>
      <c r="Q54" s="5" t="s">
        <v>1459</v>
      </c>
      <c r="R54" s="5" t="s">
        <v>1382</v>
      </c>
      <c r="S54" s="8">
        <v>7</v>
      </c>
      <c r="T54" s="8">
        <v>7</v>
      </c>
      <c r="U54" s="8" t="s">
        <v>1810</v>
      </c>
      <c r="V54" s="5" t="s">
        <v>1811</v>
      </c>
      <c r="W54" s="5" t="s">
        <v>1812</v>
      </c>
      <c r="X54" s="5"/>
      <c r="Y54" s="6" t="s">
        <v>1813</v>
      </c>
    </row>
    <row r="55" spans="1:25" ht="20" customHeight="1" x14ac:dyDescent="0.2">
      <c r="A55" s="4" t="s">
        <v>86</v>
      </c>
      <c r="B55" s="5" t="s">
        <v>87</v>
      </c>
      <c r="C55" s="6" t="s">
        <v>658</v>
      </c>
      <c r="D55" s="6" t="s">
        <v>1814</v>
      </c>
      <c r="E55" s="6" t="s">
        <v>631</v>
      </c>
      <c r="F55" s="9" t="s">
        <v>1318</v>
      </c>
      <c r="G55" s="19" t="s">
        <v>1815</v>
      </c>
      <c r="H55" s="5" t="s">
        <v>1407</v>
      </c>
      <c r="I55" s="5" t="s">
        <v>655</v>
      </c>
      <c r="J55" s="5"/>
      <c r="K55" s="6" t="s">
        <v>659</v>
      </c>
      <c r="L55" s="5" t="s">
        <v>1816</v>
      </c>
      <c r="M55" s="5" t="s">
        <v>124</v>
      </c>
      <c r="N55" s="5" t="s">
        <v>1407</v>
      </c>
      <c r="O55" s="5" t="s">
        <v>659</v>
      </c>
      <c r="P55" s="5" t="s">
        <v>1817</v>
      </c>
      <c r="Q55" s="5" t="s">
        <v>1459</v>
      </c>
      <c r="R55" s="5" t="s">
        <v>1382</v>
      </c>
      <c r="S55" s="8">
        <v>5</v>
      </c>
      <c r="T55" s="8">
        <v>5</v>
      </c>
      <c r="U55" s="8" t="s">
        <v>1407</v>
      </c>
      <c r="V55" s="5" t="s">
        <v>1818</v>
      </c>
      <c r="W55" s="5" t="s">
        <v>1819</v>
      </c>
      <c r="X55" s="5"/>
      <c r="Y55" s="6" t="s">
        <v>1820</v>
      </c>
    </row>
    <row r="56" spans="1:25" ht="20" customHeight="1" x14ac:dyDescent="0.2">
      <c r="A56" s="4" t="s">
        <v>86</v>
      </c>
      <c r="B56" s="5" t="s">
        <v>87</v>
      </c>
      <c r="C56" s="6" t="s">
        <v>650</v>
      </c>
      <c r="D56" s="6" t="s">
        <v>1821</v>
      </c>
      <c r="E56" s="6" t="s">
        <v>631</v>
      </c>
      <c r="F56" s="9" t="s">
        <v>1318</v>
      </c>
      <c r="G56" s="19" t="s">
        <v>1822</v>
      </c>
      <c r="H56" s="5" t="s">
        <v>1823</v>
      </c>
      <c r="I56" s="5" t="s">
        <v>647</v>
      </c>
      <c r="J56" s="5"/>
      <c r="K56" s="6" t="s">
        <v>651</v>
      </c>
      <c r="L56" s="5" t="s">
        <v>1824</v>
      </c>
      <c r="M56" s="5" t="s">
        <v>1825</v>
      </c>
      <c r="N56" s="5" t="s">
        <v>1826</v>
      </c>
      <c r="O56" s="5" t="s">
        <v>1827</v>
      </c>
      <c r="P56" s="5" t="s">
        <v>634</v>
      </c>
      <c r="Q56" s="5" t="s">
        <v>1459</v>
      </c>
      <c r="R56" s="5" t="s">
        <v>1382</v>
      </c>
      <c r="S56" s="8">
        <v>5</v>
      </c>
      <c r="T56" s="8">
        <v>8</v>
      </c>
      <c r="U56" s="8" t="s">
        <v>1828</v>
      </c>
      <c r="V56" s="5" t="s">
        <v>1829</v>
      </c>
      <c r="W56" s="5" t="s">
        <v>1830</v>
      </c>
      <c r="X56" s="5"/>
      <c r="Y56" s="6" t="s">
        <v>1831</v>
      </c>
    </row>
    <row r="57" spans="1:25" ht="20" customHeight="1" x14ac:dyDescent="0.2">
      <c r="A57" s="4" t="s">
        <v>86</v>
      </c>
      <c r="B57" s="5" t="s">
        <v>87</v>
      </c>
      <c r="C57" s="6" t="s">
        <v>680</v>
      </c>
      <c r="D57" s="6" t="s">
        <v>1832</v>
      </c>
      <c r="E57" s="6" t="s">
        <v>631</v>
      </c>
      <c r="F57" s="9" t="s">
        <v>1318</v>
      </c>
      <c r="G57" s="19" t="s">
        <v>1833</v>
      </c>
      <c r="H57" s="5" t="s">
        <v>1407</v>
      </c>
      <c r="I57" s="5" t="s">
        <v>677</v>
      </c>
      <c r="J57" s="5"/>
      <c r="K57" s="6" t="s">
        <v>681</v>
      </c>
      <c r="L57" s="5" t="s">
        <v>1834</v>
      </c>
      <c r="M57" s="5" t="s">
        <v>124</v>
      </c>
      <c r="N57" s="5" t="s">
        <v>1407</v>
      </c>
      <c r="O57" s="5" t="s">
        <v>681</v>
      </c>
      <c r="P57" s="5" t="s">
        <v>634</v>
      </c>
      <c r="Q57" s="5" t="s">
        <v>1459</v>
      </c>
      <c r="R57" s="5" t="s">
        <v>1382</v>
      </c>
      <c r="S57" s="8">
        <v>4</v>
      </c>
      <c r="T57" s="8">
        <v>6</v>
      </c>
      <c r="U57" s="8" t="s">
        <v>1407</v>
      </c>
      <c r="V57" s="5" t="s">
        <v>1835</v>
      </c>
      <c r="W57" s="5" t="s">
        <v>1836</v>
      </c>
      <c r="X57" s="5"/>
      <c r="Y57" s="6" t="s">
        <v>1837</v>
      </c>
    </row>
    <row r="58" spans="1:25" ht="20" customHeight="1" x14ac:dyDescent="0.2">
      <c r="A58" s="4" t="s">
        <v>86</v>
      </c>
      <c r="B58" s="5" t="s">
        <v>87</v>
      </c>
      <c r="C58" s="6" t="s">
        <v>666</v>
      </c>
      <c r="D58" s="6" t="s">
        <v>1838</v>
      </c>
      <c r="E58" s="6" t="s">
        <v>631</v>
      </c>
      <c r="F58" s="9" t="s">
        <v>1318</v>
      </c>
      <c r="G58" s="19" t="s">
        <v>1839</v>
      </c>
      <c r="H58" s="5" t="s">
        <v>1840</v>
      </c>
      <c r="I58" s="5" t="s">
        <v>663</v>
      </c>
      <c r="J58" s="5"/>
      <c r="K58" s="6" t="s">
        <v>124</v>
      </c>
      <c r="L58" s="5" t="s">
        <v>1841</v>
      </c>
      <c r="M58" s="5" t="s">
        <v>124</v>
      </c>
      <c r="N58" s="5" t="s">
        <v>1407</v>
      </c>
      <c r="O58" s="5" t="s">
        <v>124</v>
      </c>
      <c r="P58" s="5" t="s">
        <v>634</v>
      </c>
      <c r="Q58" s="5" t="s">
        <v>1459</v>
      </c>
      <c r="R58" s="5" t="s">
        <v>1382</v>
      </c>
      <c r="S58" s="8">
        <v>5</v>
      </c>
      <c r="T58" s="8">
        <v>6</v>
      </c>
      <c r="U58" s="8" t="s">
        <v>1407</v>
      </c>
      <c r="V58" s="5" t="s">
        <v>1842</v>
      </c>
      <c r="W58" s="5" t="s">
        <v>1843</v>
      </c>
      <c r="X58" s="5"/>
      <c r="Y58" s="6" t="s">
        <v>1844</v>
      </c>
    </row>
    <row r="59" spans="1:25" ht="20" customHeight="1" x14ac:dyDescent="0.2">
      <c r="A59" s="4" t="s">
        <v>86</v>
      </c>
      <c r="B59" s="5" t="s">
        <v>87</v>
      </c>
      <c r="C59" s="6" t="s">
        <v>713</v>
      </c>
      <c r="D59" s="6" t="s">
        <v>1845</v>
      </c>
      <c r="E59" s="6" t="s">
        <v>631</v>
      </c>
      <c r="F59" s="9" t="s">
        <v>1318</v>
      </c>
      <c r="G59" s="19" t="s">
        <v>1846</v>
      </c>
      <c r="H59" s="5" t="s">
        <v>1847</v>
      </c>
      <c r="I59" s="5" t="s">
        <v>1848</v>
      </c>
      <c r="J59" s="5"/>
      <c r="K59" s="6" t="s">
        <v>714</v>
      </c>
      <c r="L59" s="5" t="s">
        <v>1849</v>
      </c>
      <c r="M59" s="5" t="s">
        <v>124</v>
      </c>
      <c r="N59" s="5" t="s">
        <v>1407</v>
      </c>
      <c r="O59" s="5" t="s">
        <v>714</v>
      </c>
      <c r="P59" s="5" t="s">
        <v>634</v>
      </c>
      <c r="Q59" s="5" t="s">
        <v>1459</v>
      </c>
      <c r="R59" s="5" t="s">
        <v>1382</v>
      </c>
      <c r="S59" s="8">
        <v>4</v>
      </c>
      <c r="T59" s="8">
        <v>5</v>
      </c>
      <c r="U59" s="8" t="s">
        <v>1407</v>
      </c>
      <c r="V59" s="5" t="s">
        <v>1850</v>
      </c>
      <c r="W59" s="5" t="s">
        <v>1851</v>
      </c>
      <c r="X59" s="5"/>
      <c r="Y59" s="6" t="s">
        <v>1852</v>
      </c>
    </row>
    <row r="60" spans="1:25" ht="20" customHeight="1" x14ac:dyDescent="0.2">
      <c r="A60" s="4" t="s">
        <v>86</v>
      </c>
      <c r="B60" s="5" t="s">
        <v>87</v>
      </c>
      <c r="C60" s="6" t="s">
        <v>694</v>
      </c>
      <c r="D60" s="6" t="s">
        <v>1853</v>
      </c>
      <c r="E60" s="6" t="s">
        <v>631</v>
      </c>
      <c r="F60" s="9" t="s">
        <v>1318</v>
      </c>
      <c r="G60" s="19" t="s">
        <v>1854</v>
      </c>
      <c r="H60" s="5" t="s">
        <v>1407</v>
      </c>
      <c r="I60" s="5" t="s">
        <v>691</v>
      </c>
      <c r="J60" s="5"/>
      <c r="K60" s="6" t="s">
        <v>124</v>
      </c>
      <c r="L60" s="5" t="s">
        <v>1855</v>
      </c>
      <c r="M60" s="5" t="s">
        <v>124</v>
      </c>
      <c r="N60" s="5" t="s">
        <v>1407</v>
      </c>
      <c r="O60" s="5" t="s">
        <v>124</v>
      </c>
      <c r="P60" s="5" t="s">
        <v>634</v>
      </c>
      <c r="Q60" s="5" t="s">
        <v>1459</v>
      </c>
      <c r="R60" s="5" t="s">
        <v>1382</v>
      </c>
      <c r="S60" s="8">
        <v>4</v>
      </c>
      <c r="T60" s="8">
        <v>5</v>
      </c>
      <c r="U60" s="8" t="s">
        <v>1407</v>
      </c>
      <c r="V60" s="5" t="s">
        <v>1856</v>
      </c>
      <c r="W60" s="5" t="s">
        <v>1857</v>
      </c>
      <c r="X60" s="5"/>
      <c r="Y60" s="6" t="s">
        <v>1858</v>
      </c>
    </row>
    <row r="61" spans="1:25" ht="20" customHeight="1" x14ac:dyDescent="0.2">
      <c r="A61" s="4" t="s">
        <v>86</v>
      </c>
      <c r="B61" s="5" t="s">
        <v>87</v>
      </c>
      <c r="C61" s="6" t="s">
        <v>673</v>
      </c>
      <c r="D61" s="6" t="s">
        <v>1859</v>
      </c>
      <c r="E61" s="6" t="s">
        <v>631</v>
      </c>
      <c r="F61" s="9" t="s">
        <v>1318</v>
      </c>
      <c r="G61" s="19" t="s">
        <v>1860</v>
      </c>
      <c r="H61" s="5" t="s">
        <v>1407</v>
      </c>
      <c r="I61" s="5" t="s">
        <v>670</v>
      </c>
      <c r="J61" s="5"/>
      <c r="K61" s="6" t="s">
        <v>124</v>
      </c>
      <c r="L61" s="5" t="s">
        <v>1861</v>
      </c>
      <c r="M61" s="5" t="s">
        <v>124</v>
      </c>
      <c r="N61" s="5" t="s">
        <v>1407</v>
      </c>
      <c r="O61" s="5" t="s">
        <v>124</v>
      </c>
      <c r="P61" s="5" t="s">
        <v>634</v>
      </c>
      <c r="Q61" s="5" t="s">
        <v>1459</v>
      </c>
      <c r="R61" s="5" t="s">
        <v>1382</v>
      </c>
      <c r="S61" s="8">
        <v>4</v>
      </c>
      <c r="T61" s="8">
        <v>4</v>
      </c>
      <c r="U61" s="8" t="s">
        <v>1407</v>
      </c>
      <c r="V61" s="5" t="s">
        <v>1862</v>
      </c>
      <c r="W61" s="5" t="s">
        <v>1863</v>
      </c>
      <c r="X61" s="5"/>
      <c r="Y61" s="6" t="s">
        <v>1864</v>
      </c>
    </row>
    <row r="62" spans="1:25" ht="20" customHeight="1" x14ac:dyDescent="0.2">
      <c r="A62" s="4" t="s">
        <v>86</v>
      </c>
      <c r="B62" s="5" t="s">
        <v>87</v>
      </c>
      <c r="C62" s="6" t="s">
        <v>785</v>
      </c>
      <c r="D62" s="6" t="s">
        <v>1865</v>
      </c>
      <c r="E62" s="6" t="s">
        <v>631</v>
      </c>
      <c r="F62" s="9" t="s">
        <v>1318</v>
      </c>
      <c r="G62" s="19" t="s">
        <v>1866</v>
      </c>
      <c r="H62" s="5" t="s">
        <v>1407</v>
      </c>
      <c r="I62" s="5" t="s">
        <v>782</v>
      </c>
      <c r="J62" s="5"/>
      <c r="K62" s="6" t="s">
        <v>124</v>
      </c>
      <c r="L62" s="5" t="s">
        <v>1867</v>
      </c>
      <c r="M62" s="5" t="s">
        <v>124</v>
      </c>
      <c r="N62" s="5" t="s">
        <v>1407</v>
      </c>
      <c r="O62" s="5" t="s">
        <v>124</v>
      </c>
      <c r="P62" s="5" t="s">
        <v>634</v>
      </c>
      <c r="Q62" s="5" t="s">
        <v>1459</v>
      </c>
      <c r="R62" s="5" t="s">
        <v>1382</v>
      </c>
      <c r="S62" s="8">
        <v>3</v>
      </c>
      <c r="T62" s="8">
        <v>4</v>
      </c>
      <c r="U62" s="8" t="s">
        <v>1407</v>
      </c>
      <c r="V62" s="5" t="s">
        <v>1868</v>
      </c>
      <c r="W62" s="5" t="s">
        <v>1869</v>
      </c>
      <c r="X62" s="5"/>
      <c r="Y62" s="6" t="s">
        <v>1870</v>
      </c>
    </row>
    <row r="63" spans="1:25" ht="20" customHeight="1" x14ac:dyDescent="0.2">
      <c r="A63" s="4" t="s">
        <v>86</v>
      </c>
      <c r="B63" s="5" t="s">
        <v>87</v>
      </c>
      <c r="C63" s="6" t="s">
        <v>687</v>
      </c>
      <c r="D63" s="6" t="s">
        <v>1871</v>
      </c>
      <c r="E63" s="6" t="s">
        <v>631</v>
      </c>
      <c r="F63" s="9" t="s">
        <v>1318</v>
      </c>
      <c r="G63" s="19" t="s">
        <v>1872</v>
      </c>
      <c r="H63" s="5" t="s">
        <v>1407</v>
      </c>
      <c r="I63" s="5" t="s">
        <v>1873</v>
      </c>
      <c r="J63" s="5"/>
      <c r="K63" s="6" t="s">
        <v>124</v>
      </c>
      <c r="L63" s="5" t="s">
        <v>1874</v>
      </c>
      <c r="M63" s="5" t="s">
        <v>124</v>
      </c>
      <c r="N63" s="5" t="s">
        <v>1407</v>
      </c>
      <c r="O63" s="5" t="s">
        <v>124</v>
      </c>
      <c r="P63" s="5" t="s">
        <v>634</v>
      </c>
      <c r="Q63" s="5" t="s">
        <v>1459</v>
      </c>
      <c r="R63" s="5" t="s">
        <v>1382</v>
      </c>
      <c r="S63" s="8">
        <v>3</v>
      </c>
      <c r="T63" s="8">
        <v>4</v>
      </c>
      <c r="U63" s="8" t="s">
        <v>1407</v>
      </c>
      <c r="V63" s="5" t="s">
        <v>1862</v>
      </c>
      <c r="W63" s="5" t="s">
        <v>1875</v>
      </c>
      <c r="X63" s="5"/>
      <c r="Y63" s="6" t="s">
        <v>1876</v>
      </c>
    </row>
    <row r="64" spans="1:25" ht="20" customHeight="1" x14ac:dyDescent="0.2">
      <c r="A64" s="4" t="s">
        <v>86</v>
      </c>
      <c r="B64" s="5" t="s">
        <v>87</v>
      </c>
      <c r="C64" s="6" t="s">
        <v>724</v>
      </c>
      <c r="D64" s="6" t="s">
        <v>1877</v>
      </c>
      <c r="E64" s="6" t="s">
        <v>631</v>
      </c>
      <c r="F64" s="10" t="s">
        <v>1322</v>
      </c>
      <c r="G64" s="19" t="s">
        <v>1878</v>
      </c>
      <c r="H64" s="5" t="s">
        <v>1407</v>
      </c>
      <c r="I64" s="5" t="s">
        <v>721</v>
      </c>
      <c r="J64" s="5"/>
      <c r="K64" s="6" t="s">
        <v>124</v>
      </c>
      <c r="L64" s="5" t="s">
        <v>1879</v>
      </c>
      <c r="M64" s="5" t="s">
        <v>124</v>
      </c>
      <c r="N64" s="5" t="s">
        <v>1407</v>
      </c>
      <c r="O64" s="5" t="s">
        <v>124</v>
      </c>
      <c r="P64" s="5" t="s">
        <v>634</v>
      </c>
      <c r="Q64" s="5" t="s">
        <v>1459</v>
      </c>
      <c r="R64" s="5" t="s">
        <v>1382</v>
      </c>
      <c r="S64" s="8">
        <v>2</v>
      </c>
      <c r="T64" s="8">
        <v>4</v>
      </c>
      <c r="U64" s="8" t="s">
        <v>1880</v>
      </c>
      <c r="V64" s="5" t="s">
        <v>1881</v>
      </c>
      <c r="W64" s="5" t="s">
        <v>1882</v>
      </c>
      <c r="X64" s="5"/>
      <c r="Y64" s="6" t="s">
        <v>1883</v>
      </c>
    </row>
    <row r="65" spans="1:25" ht="20" customHeight="1" x14ac:dyDescent="0.2">
      <c r="A65" s="4" t="s">
        <v>86</v>
      </c>
      <c r="B65" s="5" t="s">
        <v>87</v>
      </c>
      <c r="C65" s="6" t="s">
        <v>1884</v>
      </c>
      <c r="D65" s="6" t="s">
        <v>1885</v>
      </c>
      <c r="E65" s="6" t="s">
        <v>631</v>
      </c>
      <c r="F65" s="9" t="s">
        <v>1318</v>
      </c>
      <c r="G65" s="19" t="s">
        <v>1886</v>
      </c>
      <c r="H65" s="5" t="s">
        <v>1407</v>
      </c>
      <c r="I65" s="5" t="s">
        <v>1887</v>
      </c>
      <c r="J65" s="5"/>
      <c r="K65" s="6" t="s">
        <v>124</v>
      </c>
      <c r="L65" s="5" t="s">
        <v>1888</v>
      </c>
      <c r="M65" s="5" t="s">
        <v>124</v>
      </c>
      <c r="N65" s="5" t="s">
        <v>1407</v>
      </c>
      <c r="O65" s="5" t="s">
        <v>124</v>
      </c>
      <c r="P65" s="5" t="s">
        <v>634</v>
      </c>
      <c r="Q65" s="5" t="s">
        <v>1459</v>
      </c>
      <c r="R65" s="5" t="s">
        <v>1382</v>
      </c>
      <c r="S65" s="8">
        <v>3</v>
      </c>
      <c r="T65" s="8">
        <v>4</v>
      </c>
      <c r="U65" s="8" t="s">
        <v>1407</v>
      </c>
      <c r="V65" s="5" t="s">
        <v>1862</v>
      </c>
      <c r="W65" s="5" t="s">
        <v>1889</v>
      </c>
      <c r="X65" s="5"/>
      <c r="Y65" s="6" t="s">
        <v>1890</v>
      </c>
    </row>
    <row r="66" spans="1:25" ht="20" customHeight="1" x14ac:dyDescent="0.2">
      <c r="A66" s="4" t="s">
        <v>86</v>
      </c>
      <c r="B66" s="5" t="s">
        <v>87</v>
      </c>
      <c r="C66" s="6" t="s">
        <v>1891</v>
      </c>
      <c r="D66" s="6" t="s">
        <v>1892</v>
      </c>
      <c r="E66" s="6" t="s">
        <v>631</v>
      </c>
      <c r="F66" s="9" t="s">
        <v>1318</v>
      </c>
      <c r="G66" s="19" t="s">
        <v>1893</v>
      </c>
      <c r="H66" s="5" t="s">
        <v>1407</v>
      </c>
      <c r="I66" s="5" t="s">
        <v>1894</v>
      </c>
      <c r="J66" s="5"/>
      <c r="K66" s="6" t="s">
        <v>124</v>
      </c>
      <c r="L66" s="5" t="s">
        <v>1895</v>
      </c>
      <c r="M66" s="5" t="s">
        <v>124</v>
      </c>
      <c r="N66" s="5" t="s">
        <v>1407</v>
      </c>
      <c r="O66" s="5" t="s">
        <v>124</v>
      </c>
      <c r="P66" s="5" t="s">
        <v>634</v>
      </c>
      <c r="Q66" s="5" t="s">
        <v>1459</v>
      </c>
      <c r="R66" s="5" t="s">
        <v>1382</v>
      </c>
      <c r="S66" s="8">
        <v>3</v>
      </c>
      <c r="T66" s="8">
        <v>4</v>
      </c>
      <c r="U66" s="8" t="s">
        <v>1407</v>
      </c>
      <c r="V66" s="5" t="s">
        <v>1896</v>
      </c>
      <c r="W66" s="5" t="s">
        <v>1897</v>
      </c>
      <c r="X66" s="5"/>
      <c r="Y66" s="6" t="s">
        <v>1898</v>
      </c>
    </row>
    <row r="67" spans="1:25" ht="20" customHeight="1" x14ac:dyDescent="0.2">
      <c r="A67" s="4" t="s">
        <v>86</v>
      </c>
      <c r="B67" s="5" t="s">
        <v>87</v>
      </c>
      <c r="C67" s="6" t="s">
        <v>1899</v>
      </c>
      <c r="D67" s="6" t="s">
        <v>1900</v>
      </c>
      <c r="E67" s="6" t="s">
        <v>90</v>
      </c>
      <c r="F67" s="9" t="s">
        <v>1318</v>
      </c>
      <c r="G67" s="19" t="s">
        <v>1388</v>
      </c>
      <c r="H67" s="5" t="s">
        <v>1389</v>
      </c>
      <c r="I67" s="5" t="s">
        <v>104</v>
      </c>
      <c r="J67" s="5"/>
      <c r="K67" s="6" t="s">
        <v>1901</v>
      </c>
      <c r="L67" s="5" t="s">
        <v>1902</v>
      </c>
      <c r="M67" s="5" t="s">
        <v>1903</v>
      </c>
      <c r="N67" s="5" t="s">
        <v>1407</v>
      </c>
      <c r="O67" s="5" t="s">
        <v>1904</v>
      </c>
      <c r="P67" s="5" t="s">
        <v>206</v>
      </c>
      <c r="Q67" s="5" t="s">
        <v>537</v>
      </c>
      <c r="R67" s="5" t="s">
        <v>1459</v>
      </c>
      <c r="S67" s="8">
        <v>5</v>
      </c>
      <c r="T67" s="8">
        <v>7</v>
      </c>
      <c r="U67" s="8" t="s">
        <v>1905</v>
      </c>
      <c r="V67" s="5" t="s">
        <v>1906</v>
      </c>
      <c r="W67" s="5" t="s">
        <v>1907</v>
      </c>
      <c r="X67" s="5"/>
      <c r="Y67" s="6" t="s">
        <v>1908</v>
      </c>
    </row>
    <row r="68" spans="1:25" ht="20" customHeight="1" x14ac:dyDescent="0.2">
      <c r="A68" s="4" t="s">
        <v>86</v>
      </c>
      <c r="B68" s="5" t="s">
        <v>87</v>
      </c>
      <c r="C68" s="6" t="s">
        <v>882</v>
      </c>
      <c r="D68" s="6" t="s">
        <v>1909</v>
      </c>
      <c r="E68" s="6" t="s">
        <v>829</v>
      </c>
      <c r="F68" s="9" t="s">
        <v>1318</v>
      </c>
      <c r="G68" s="19" t="s">
        <v>1910</v>
      </c>
      <c r="H68" s="5" t="s">
        <v>1407</v>
      </c>
      <c r="I68" s="5" t="s">
        <v>879</v>
      </c>
      <c r="J68" s="5"/>
      <c r="K68" s="6" t="s">
        <v>883</v>
      </c>
      <c r="L68" s="5" t="s">
        <v>1911</v>
      </c>
      <c r="M68" s="5" t="s">
        <v>124</v>
      </c>
      <c r="N68" s="5" t="s">
        <v>1407</v>
      </c>
      <c r="O68" s="5" t="s">
        <v>883</v>
      </c>
      <c r="P68" s="5" t="s">
        <v>1912</v>
      </c>
      <c r="Q68" s="5" t="s">
        <v>1459</v>
      </c>
      <c r="R68" s="5" t="s">
        <v>1396</v>
      </c>
      <c r="S68" s="8">
        <v>5</v>
      </c>
      <c r="T68" s="8">
        <v>6</v>
      </c>
      <c r="U68" s="8" t="s">
        <v>1407</v>
      </c>
      <c r="V68" s="5" t="s">
        <v>1913</v>
      </c>
      <c r="W68" s="5" t="s">
        <v>1914</v>
      </c>
      <c r="X68" s="5"/>
      <c r="Y68" s="6" t="s">
        <v>1915</v>
      </c>
    </row>
    <row r="69" spans="1:25" ht="20" customHeight="1" x14ac:dyDescent="0.2">
      <c r="A69" s="4" t="s">
        <v>86</v>
      </c>
      <c r="B69" s="5" t="s">
        <v>87</v>
      </c>
      <c r="C69" s="6" t="s">
        <v>853</v>
      </c>
      <c r="D69" s="6" t="s">
        <v>1916</v>
      </c>
      <c r="E69" s="6" t="s">
        <v>829</v>
      </c>
      <c r="F69" s="9" t="s">
        <v>1318</v>
      </c>
      <c r="G69" s="19" t="s">
        <v>1917</v>
      </c>
      <c r="H69" s="5" t="s">
        <v>1407</v>
      </c>
      <c r="I69" s="5" t="s">
        <v>850</v>
      </c>
      <c r="J69" s="5"/>
      <c r="K69" s="6" t="s">
        <v>854</v>
      </c>
      <c r="L69" s="5" t="s">
        <v>1918</v>
      </c>
      <c r="M69" s="5" t="s">
        <v>1919</v>
      </c>
      <c r="N69" s="5" t="s">
        <v>1407</v>
      </c>
      <c r="O69" s="5" t="s">
        <v>1920</v>
      </c>
      <c r="P69" s="5" t="s">
        <v>832</v>
      </c>
      <c r="Q69" s="5" t="s">
        <v>1459</v>
      </c>
      <c r="R69" s="5" t="s">
        <v>1396</v>
      </c>
      <c r="S69" s="8">
        <v>4</v>
      </c>
      <c r="T69" s="8">
        <v>5</v>
      </c>
      <c r="U69" s="8" t="s">
        <v>1407</v>
      </c>
      <c r="V69" s="5" t="s">
        <v>1921</v>
      </c>
      <c r="W69" s="5" t="s">
        <v>1922</v>
      </c>
      <c r="X69" s="5"/>
      <c r="Y69" s="6" t="s">
        <v>1923</v>
      </c>
    </row>
    <row r="70" spans="1:25" ht="20" customHeight="1" x14ac:dyDescent="0.2">
      <c r="A70" s="4" t="s">
        <v>86</v>
      </c>
      <c r="B70" s="5" t="s">
        <v>87</v>
      </c>
      <c r="C70" s="6" t="s">
        <v>888</v>
      </c>
      <c r="D70" s="6" t="s">
        <v>1924</v>
      </c>
      <c r="E70" s="6" t="s">
        <v>829</v>
      </c>
      <c r="F70" s="9" t="s">
        <v>1318</v>
      </c>
      <c r="G70" s="19" t="s">
        <v>1925</v>
      </c>
      <c r="H70" s="5" t="s">
        <v>1407</v>
      </c>
      <c r="I70" s="5" t="s">
        <v>885</v>
      </c>
      <c r="J70" s="5"/>
      <c r="K70" s="6" t="s">
        <v>889</v>
      </c>
      <c r="L70" s="5" t="s">
        <v>1926</v>
      </c>
      <c r="M70" s="5" t="s">
        <v>124</v>
      </c>
      <c r="N70" s="5" t="s">
        <v>1407</v>
      </c>
      <c r="O70" s="5" t="s">
        <v>889</v>
      </c>
      <c r="P70" s="5" t="s">
        <v>1927</v>
      </c>
      <c r="Q70" s="5" t="s">
        <v>537</v>
      </c>
      <c r="R70" s="5" t="s">
        <v>1396</v>
      </c>
      <c r="S70" s="8">
        <v>3</v>
      </c>
      <c r="T70" s="8">
        <v>5</v>
      </c>
      <c r="U70" s="8" t="s">
        <v>1928</v>
      </c>
      <c r="V70" s="5" t="s">
        <v>1929</v>
      </c>
      <c r="W70" s="5" t="s">
        <v>1930</v>
      </c>
      <c r="X70" s="5"/>
      <c r="Y70" s="6" t="s">
        <v>1931</v>
      </c>
    </row>
    <row r="71" spans="1:25" ht="20" customHeight="1" x14ac:dyDescent="0.2">
      <c r="A71" s="4" t="s">
        <v>86</v>
      </c>
      <c r="B71" s="5" t="s">
        <v>87</v>
      </c>
      <c r="C71" s="6" t="s">
        <v>904</v>
      </c>
      <c r="D71" s="6" t="s">
        <v>1932</v>
      </c>
      <c r="E71" s="6" t="s">
        <v>829</v>
      </c>
      <c r="F71" s="9" t="s">
        <v>1318</v>
      </c>
      <c r="G71" s="19" t="s">
        <v>1933</v>
      </c>
      <c r="H71" s="5" t="s">
        <v>1407</v>
      </c>
      <c r="I71" s="5" t="s">
        <v>901</v>
      </c>
      <c r="J71" s="5"/>
      <c r="K71" s="6" t="s">
        <v>124</v>
      </c>
      <c r="L71" s="5" t="s">
        <v>1934</v>
      </c>
      <c r="M71" s="5" t="s">
        <v>124</v>
      </c>
      <c r="N71" s="5" t="s">
        <v>1407</v>
      </c>
      <c r="O71" s="5" t="s">
        <v>124</v>
      </c>
      <c r="P71" s="5" t="s">
        <v>832</v>
      </c>
      <c r="Q71" s="5" t="s">
        <v>1459</v>
      </c>
      <c r="R71" s="5" t="s">
        <v>1396</v>
      </c>
      <c r="S71" s="8">
        <v>3</v>
      </c>
      <c r="T71" s="8">
        <v>5</v>
      </c>
      <c r="U71" s="8" t="s">
        <v>1407</v>
      </c>
      <c r="V71" s="5" t="s">
        <v>1935</v>
      </c>
      <c r="W71" s="5" t="s">
        <v>1936</v>
      </c>
      <c r="X71" s="5"/>
      <c r="Y71" s="6" t="s">
        <v>1937</v>
      </c>
    </row>
    <row r="72" spans="1:25" ht="20" customHeight="1" x14ac:dyDescent="0.2">
      <c r="A72" s="4" t="s">
        <v>86</v>
      </c>
      <c r="B72" s="5" t="s">
        <v>87</v>
      </c>
      <c r="C72" s="6" t="s">
        <v>840</v>
      </c>
      <c r="D72" s="6" t="s">
        <v>1938</v>
      </c>
      <c r="E72" s="6" t="s">
        <v>829</v>
      </c>
      <c r="F72" s="9" t="s">
        <v>1318</v>
      </c>
      <c r="G72" s="19" t="s">
        <v>1939</v>
      </c>
      <c r="H72" s="5" t="s">
        <v>1407</v>
      </c>
      <c r="I72" s="5" t="s">
        <v>837</v>
      </c>
      <c r="J72" s="5"/>
      <c r="K72" s="6" t="s">
        <v>124</v>
      </c>
      <c r="L72" s="5" t="s">
        <v>1940</v>
      </c>
      <c r="M72" s="5" t="s">
        <v>124</v>
      </c>
      <c r="N72" s="5" t="s">
        <v>1407</v>
      </c>
      <c r="O72" s="5" t="s">
        <v>124</v>
      </c>
      <c r="P72" s="5" t="s">
        <v>832</v>
      </c>
      <c r="Q72" s="5" t="s">
        <v>1459</v>
      </c>
      <c r="R72" s="5" t="s">
        <v>1396</v>
      </c>
      <c r="S72" s="8">
        <v>4</v>
      </c>
      <c r="T72" s="8">
        <v>5</v>
      </c>
      <c r="U72" s="8" t="s">
        <v>1407</v>
      </c>
      <c r="V72" s="5" t="s">
        <v>1941</v>
      </c>
      <c r="W72" s="5" t="s">
        <v>1942</v>
      </c>
      <c r="X72" s="5"/>
      <c r="Y72" s="6" t="s">
        <v>1943</v>
      </c>
    </row>
    <row r="73" spans="1:25" ht="20" customHeight="1" x14ac:dyDescent="0.2">
      <c r="A73" s="4" t="s">
        <v>86</v>
      </c>
      <c r="B73" s="5" t="s">
        <v>87</v>
      </c>
      <c r="C73" s="6" t="s">
        <v>504</v>
      </c>
      <c r="D73" s="6" t="s">
        <v>1944</v>
      </c>
      <c r="E73" s="6" t="s">
        <v>829</v>
      </c>
      <c r="F73" s="9" t="s">
        <v>1318</v>
      </c>
      <c r="G73" s="19" t="s">
        <v>1945</v>
      </c>
      <c r="H73" s="5" t="s">
        <v>1407</v>
      </c>
      <c r="I73" s="5" t="s">
        <v>501</v>
      </c>
      <c r="J73" s="5"/>
      <c r="K73" s="6" t="s">
        <v>124</v>
      </c>
      <c r="L73" s="5" t="s">
        <v>1946</v>
      </c>
      <c r="M73" s="5" t="s">
        <v>124</v>
      </c>
      <c r="N73" s="5" t="s">
        <v>1407</v>
      </c>
      <c r="O73" s="5" t="s">
        <v>124</v>
      </c>
      <c r="P73" s="5" t="s">
        <v>832</v>
      </c>
      <c r="Q73" s="5" t="s">
        <v>1459</v>
      </c>
      <c r="R73" s="5" t="s">
        <v>1396</v>
      </c>
      <c r="S73" s="8">
        <v>3</v>
      </c>
      <c r="T73" s="8">
        <v>5</v>
      </c>
      <c r="U73" s="8" t="s">
        <v>1407</v>
      </c>
      <c r="V73" s="5" t="s">
        <v>1935</v>
      </c>
      <c r="W73" s="5" t="s">
        <v>1947</v>
      </c>
      <c r="X73" s="5"/>
      <c r="Y73" s="6" t="s">
        <v>1948</v>
      </c>
    </row>
    <row r="74" spans="1:25" ht="20" customHeight="1" x14ac:dyDescent="0.2">
      <c r="A74" s="4" t="s">
        <v>86</v>
      </c>
      <c r="B74" s="5" t="s">
        <v>87</v>
      </c>
      <c r="C74" s="6" t="s">
        <v>1949</v>
      </c>
      <c r="D74" s="6" t="s">
        <v>1950</v>
      </c>
      <c r="E74" s="6" t="s">
        <v>829</v>
      </c>
      <c r="F74" s="9" t="s">
        <v>1318</v>
      </c>
      <c r="G74" s="19" t="s">
        <v>1951</v>
      </c>
      <c r="H74" s="5" t="s">
        <v>1407</v>
      </c>
      <c r="I74" s="5" t="s">
        <v>1952</v>
      </c>
      <c r="J74" s="5"/>
      <c r="K74" s="6" t="s">
        <v>1953</v>
      </c>
      <c r="L74" s="5" t="s">
        <v>1954</v>
      </c>
      <c r="M74" s="5" t="s">
        <v>124</v>
      </c>
      <c r="N74" s="5" t="s">
        <v>1407</v>
      </c>
      <c r="O74" s="5" t="s">
        <v>1953</v>
      </c>
      <c r="P74" s="5" t="s">
        <v>832</v>
      </c>
      <c r="Q74" s="5" t="s">
        <v>1459</v>
      </c>
      <c r="R74" s="5" t="s">
        <v>1396</v>
      </c>
      <c r="S74" s="8">
        <v>3</v>
      </c>
      <c r="T74" s="8">
        <v>4</v>
      </c>
      <c r="U74" s="8" t="s">
        <v>1955</v>
      </c>
      <c r="V74" s="5" t="s">
        <v>1956</v>
      </c>
      <c r="W74" s="5" t="s">
        <v>1957</v>
      </c>
      <c r="X74" s="5"/>
      <c r="Y74" s="6" t="s">
        <v>1958</v>
      </c>
    </row>
    <row r="75" spans="1:25" ht="20" customHeight="1" x14ac:dyDescent="0.2">
      <c r="A75" s="4" t="s">
        <v>86</v>
      </c>
      <c r="B75" s="5" t="s">
        <v>87</v>
      </c>
      <c r="C75" s="6" t="s">
        <v>846</v>
      </c>
      <c r="D75" s="6" t="s">
        <v>1959</v>
      </c>
      <c r="E75" s="6" t="s">
        <v>829</v>
      </c>
      <c r="F75" s="9" t="s">
        <v>1318</v>
      </c>
      <c r="G75" s="19" t="s">
        <v>1960</v>
      </c>
      <c r="H75" s="5" t="s">
        <v>1407</v>
      </c>
      <c r="I75" s="5" t="s">
        <v>1961</v>
      </c>
      <c r="J75" s="5"/>
      <c r="K75" s="6" t="s">
        <v>847</v>
      </c>
      <c r="L75" s="5" t="s">
        <v>1962</v>
      </c>
      <c r="M75" s="5" t="s">
        <v>124</v>
      </c>
      <c r="N75" s="5" t="s">
        <v>1407</v>
      </c>
      <c r="O75" s="5" t="s">
        <v>847</v>
      </c>
      <c r="P75" s="5" t="s">
        <v>832</v>
      </c>
      <c r="Q75" s="5" t="s">
        <v>1459</v>
      </c>
      <c r="R75" s="5" t="s">
        <v>1396</v>
      </c>
      <c r="S75" s="8">
        <v>3</v>
      </c>
      <c r="T75" s="8">
        <v>5</v>
      </c>
      <c r="U75" s="8" t="s">
        <v>1963</v>
      </c>
      <c r="V75" s="5" t="s">
        <v>1964</v>
      </c>
      <c r="W75" s="5" t="s">
        <v>1965</v>
      </c>
      <c r="X75" s="5"/>
      <c r="Y75" s="6" t="s">
        <v>1966</v>
      </c>
    </row>
    <row r="76" spans="1:25" ht="20" customHeight="1" x14ac:dyDescent="0.2">
      <c r="A76" s="4" t="s">
        <v>86</v>
      </c>
      <c r="B76" s="5" t="s">
        <v>87</v>
      </c>
      <c r="C76" s="6" t="s">
        <v>1967</v>
      </c>
      <c r="D76" s="6" t="s">
        <v>1968</v>
      </c>
      <c r="E76" s="6" t="s">
        <v>829</v>
      </c>
      <c r="F76" s="9" t="s">
        <v>1318</v>
      </c>
      <c r="G76" s="19" t="s">
        <v>1969</v>
      </c>
      <c r="H76" s="5" t="s">
        <v>1407</v>
      </c>
      <c r="I76" s="5" t="s">
        <v>837</v>
      </c>
      <c r="J76" s="5"/>
      <c r="K76" s="6" t="s">
        <v>124</v>
      </c>
      <c r="L76" s="5" t="s">
        <v>1940</v>
      </c>
      <c r="M76" s="5" t="s">
        <v>124</v>
      </c>
      <c r="N76" s="5" t="s">
        <v>1407</v>
      </c>
      <c r="O76" s="5" t="s">
        <v>124</v>
      </c>
      <c r="P76" s="5" t="s">
        <v>832</v>
      </c>
      <c r="Q76" s="5" t="s">
        <v>1459</v>
      </c>
      <c r="R76" s="5" t="s">
        <v>1396</v>
      </c>
      <c r="S76" s="8">
        <v>3</v>
      </c>
      <c r="T76" s="8">
        <v>4</v>
      </c>
      <c r="U76" s="8" t="s">
        <v>1407</v>
      </c>
      <c r="V76" s="5" t="s">
        <v>1935</v>
      </c>
      <c r="W76" s="5" t="s">
        <v>1970</v>
      </c>
      <c r="X76" s="5"/>
      <c r="Y76" s="6" t="s">
        <v>1971</v>
      </c>
    </row>
    <row r="77" spans="1:25" ht="20" customHeight="1" x14ac:dyDescent="0.2">
      <c r="A77" s="4" t="s">
        <v>86</v>
      </c>
      <c r="B77" s="5" t="s">
        <v>87</v>
      </c>
      <c r="C77" s="6" t="s">
        <v>899</v>
      </c>
      <c r="D77" s="6" t="s">
        <v>1972</v>
      </c>
      <c r="E77" s="6" t="s">
        <v>829</v>
      </c>
      <c r="F77" s="10" t="s">
        <v>1320</v>
      </c>
      <c r="G77" s="19" t="s">
        <v>1973</v>
      </c>
      <c r="H77" s="5" t="s">
        <v>1407</v>
      </c>
      <c r="I77" s="5" t="s">
        <v>897</v>
      </c>
      <c r="J77" s="5"/>
      <c r="K77" s="6" t="s">
        <v>124</v>
      </c>
      <c r="L77" s="5" t="s">
        <v>1974</v>
      </c>
      <c r="M77" s="5" t="s">
        <v>124</v>
      </c>
      <c r="N77" s="5" t="s">
        <v>1407</v>
      </c>
      <c r="O77" s="5" t="s">
        <v>124</v>
      </c>
      <c r="P77" s="5" t="s">
        <v>832</v>
      </c>
      <c r="Q77" s="5" t="s">
        <v>1459</v>
      </c>
      <c r="R77" s="5" t="s">
        <v>1396</v>
      </c>
      <c r="S77" s="8">
        <v>2</v>
      </c>
      <c r="T77" s="8">
        <v>4</v>
      </c>
      <c r="U77" s="8" t="s">
        <v>1407</v>
      </c>
      <c r="V77" s="5" t="s">
        <v>1975</v>
      </c>
      <c r="W77" s="5" t="s">
        <v>1947</v>
      </c>
      <c r="X77" s="5"/>
      <c r="Y77" s="6" t="s">
        <v>1976</v>
      </c>
    </row>
    <row r="78" spans="1:25" ht="20" customHeight="1" x14ac:dyDescent="0.2">
      <c r="A78" s="4" t="s">
        <v>86</v>
      </c>
      <c r="B78" s="5" t="s">
        <v>87</v>
      </c>
      <c r="C78" s="6" t="s">
        <v>895</v>
      </c>
      <c r="D78" s="6" t="s">
        <v>1977</v>
      </c>
      <c r="E78" s="6" t="s">
        <v>829</v>
      </c>
      <c r="F78" s="10" t="s">
        <v>1320</v>
      </c>
      <c r="G78" s="19" t="s">
        <v>1978</v>
      </c>
      <c r="H78" s="5" t="s">
        <v>1407</v>
      </c>
      <c r="I78" s="5" t="s">
        <v>892</v>
      </c>
      <c r="J78" s="5"/>
      <c r="K78" s="6" t="s">
        <v>124</v>
      </c>
      <c r="L78" s="5" t="s">
        <v>1979</v>
      </c>
      <c r="M78" s="5" t="s">
        <v>124</v>
      </c>
      <c r="N78" s="5" t="s">
        <v>1407</v>
      </c>
      <c r="O78" s="5" t="s">
        <v>124</v>
      </c>
      <c r="P78" s="5" t="s">
        <v>832</v>
      </c>
      <c r="Q78" s="5" t="s">
        <v>1459</v>
      </c>
      <c r="R78" s="5" t="s">
        <v>1396</v>
      </c>
      <c r="S78" s="8">
        <v>2</v>
      </c>
      <c r="T78" s="8">
        <v>4</v>
      </c>
      <c r="U78" s="8" t="s">
        <v>1980</v>
      </c>
      <c r="V78" s="5" t="s">
        <v>1935</v>
      </c>
      <c r="W78" s="5" t="s">
        <v>1981</v>
      </c>
      <c r="X78" s="5"/>
      <c r="Y78" s="6" t="s">
        <v>1982</v>
      </c>
    </row>
    <row r="79" spans="1:25" ht="20" customHeight="1" x14ac:dyDescent="0.2">
      <c r="A79" s="4" t="s">
        <v>86</v>
      </c>
      <c r="B79" s="5" t="s">
        <v>87</v>
      </c>
      <c r="C79" s="6" t="s">
        <v>948</v>
      </c>
      <c r="D79" s="6" t="s">
        <v>1983</v>
      </c>
      <c r="E79" s="6" t="s">
        <v>929</v>
      </c>
      <c r="F79" s="9" t="s">
        <v>1318</v>
      </c>
      <c r="G79" s="19" t="s">
        <v>1984</v>
      </c>
      <c r="H79" s="5" t="s">
        <v>1985</v>
      </c>
      <c r="I79" s="5" t="s">
        <v>945</v>
      </c>
      <c r="J79" s="5"/>
      <c r="K79" s="6" t="s">
        <v>949</v>
      </c>
      <c r="L79" s="5" t="s">
        <v>1986</v>
      </c>
      <c r="M79" s="5" t="s">
        <v>124</v>
      </c>
      <c r="N79" s="5" t="s">
        <v>1407</v>
      </c>
      <c r="O79" s="5" t="s">
        <v>949</v>
      </c>
      <c r="P79" s="5" t="s">
        <v>933</v>
      </c>
      <c r="Q79" s="5" t="s">
        <v>1459</v>
      </c>
      <c r="R79" s="5" t="s">
        <v>1447</v>
      </c>
      <c r="S79" s="8">
        <v>5</v>
      </c>
      <c r="T79" s="8">
        <v>6</v>
      </c>
      <c r="U79" s="8" t="s">
        <v>1987</v>
      </c>
      <c r="V79" s="5" t="s">
        <v>1988</v>
      </c>
      <c r="W79" s="5" t="s">
        <v>1989</v>
      </c>
      <c r="X79" s="5"/>
      <c r="Y79" s="6" t="s">
        <v>1990</v>
      </c>
    </row>
    <row r="80" spans="1:25" ht="20" customHeight="1" x14ac:dyDescent="0.2">
      <c r="A80" s="4" t="s">
        <v>86</v>
      </c>
      <c r="B80" s="5" t="s">
        <v>87</v>
      </c>
      <c r="C80" s="6" t="s">
        <v>956</v>
      </c>
      <c r="D80" s="6" t="s">
        <v>1991</v>
      </c>
      <c r="E80" s="6" t="s">
        <v>929</v>
      </c>
      <c r="F80" s="9" t="s">
        <v>1318</v>
      </c>
      <c r="G80" s="19" t="s">
        <v>1992</v>
      </c>
      <c r="H80" s="5" t="s">
        <v>1993</v>
      </c>
      <c r="I80" s="5" t="s">
        <v>953</v>
      </c>
      <c r="J80" s="5"/>
      <c r="K80" s="6" t="s">
        <v>124</v>
      </c>
      <c r="L80" s="5" t="s">
        <v>1994</v>
      </c>
      <c r="M80" s="5" t="s">
        <v>124</v>
      </c>
      <c r="N80" s="5" t="s">
        <v>1995</v>
      </c>
      <c r="O80" s="5" t="s">
        <v>124</v>
      </c>
      <c r="P80" s="5" t="s">
        <v>933</v>
      </c>
      <c r="Q80" s="5" t="s">
        <v>1459</v>
      </c>
      <c r="R80" s="5" t="s">
        <v>1447</v>
      </c>
      <c r="S80" s="8">
        <v>5</v>
      </c>
      <c r="T80" s="8">
        <v>7</v>
      </c>
      <c r="U80" s="8" t="s">
        <v>1996</v>
      </c>
      <c r="V80" s="5" t="s">
        <v>1997</v>
      </c>
      <c r="W80" s="5" t="s">
        <v>1998</v>
      </c>
      <c r="X80" s="5"/>
      <c r="Y80" s="6" t="s">
        <v>1999</v>
      </c>
    </row>
    <row r="81" spans="1:25" ht="20" customHeight="1" x14ac:dyDescent="0.2">
      <c r="A81" s="4" t="s">
        <v>86</v>
      </c>
      <c r="B81" s="5" t="s">
        <v>87</v>
      </c>
      <c r="C81" s="6" t="s">
        <v>1019</v>
      </c>
      <c r="D81" s="6" t="s">
        <v>2000</v>
      </c>
      <c r="E81" s="6" t="s">
        <v>929</v>
      </c>
      <c r="F81" s="9" t="s">
        <v>1318</v>
      </c>
      <c r="G81" s="19" t="s">
        <v>2001</v>
      </c>
      <c r="H81" s="5" t="s">
        <v>1407</v>
      </c>
      <c r="I81" s="5" t="s">
        <v>1016</v>
      </c>
      <c r="J81" s="5"/>
      <c r="K81" s="6" t="s">
        <v>124</v>
      </c>
      <c r="L81" s="5" t="s">
        <v>2002</v>
      </c>
      <c r="M81" s="5" t="s">
        <v>124</v>
      </c>
      <c r="N81" s="5" t="s">
        <v>1407</v>
      </c>
      <c r="O81" s="5" t="s">
        <v>124</v>
      </c>
      <c r="P81" s="5" t="s">
        <v>933</v>
      </c>
      <c r="Q81" s="5" t="s">
        <v>1459</v>
      </c>
      <c r="R81" s="5" t="s">
        <v>1447</v>
      </c>
      <c r="S81" s="8">
        <v>4</v>
      </c>
      <c r="T81" s="8">
        <v>6</v>
      </c>
      <c r="U81" s="8" t="s">
        <v>2003</v>
      </c>
      <c r="V81" s="5" t="s">
        <v>2004</v>
      </c>
      <c r="W81" s="5" t="s">
        <v>2005</v>
      </c>
      <c r="X81" s="5"/>
      <c r="Y81" s="6" t="s">
        <v>2006</v>
      </c>
    </row>
    <row r="82" spans="1:25" ht="20" customHeight="1" x14ac:dyDescent="0.2">
      <c r="A82" s="4" t="s">
        <v>86</v>
      </c>
      <c r="B82" s="5" t="s">
        <v>87</v>
      </c>
      <c r="C82" s="6" t="s">
        <v>941</v>
      </c>
      <c r="D82" s="6" t="s">
        <v>2007</v>
      </c>
      <c r="E82" s="6" t="s">
        <v>929</v>
      </c>
      <c r="F82" s="9" t="s">
        <v>1318</v>
      </c>
      <c r="G82" s="19" t="s">
        <v>2008</v>
      </c>
      <c r="H82" s="5" t="s">
        <v>1407</v>
      </c>
      <c r="I82" s="5" t="s">
        <v>938</v>
      </c>
      <c r="J82" s="5"/>
      <c r="K82" s="6" t="s">
        <v>124</v>
      </c>
      <c r="L82" s="5" t="s">
        <v>2009</v>
      </c>
      <c r="M82" s="5" t="s">
        <v>124</v>
      </c>
      <c r="N82" s="5" t="s">
        <v>1407</v>
      </c>
      <c r="O82" s="5" t="s">
        <v>124</v>
      </c>
      <c r="P82" s="5" t="s">
        <v>933</v>
      </c>
      <c r="Q82" s="5" t="s">
        <v>1459</v>
      </c>
      <c r="R82" s="5" t="s">
        <v>1447</v>
      </c>
      <c r="S82" s="8">
        <v>4</v>
      </c>
      <c r="T82" s="8">
        <v>5</v>
      </c>
      <c r="U82" s="8" t="s">
        <v>2010</v>
      </c>
      <c r="V82" s="5" t="s">
        <v>2011</v>
      </c>
      <c r="W82" s="5" t="s">
        <v>2012</v>
      </c>
      <c r="X82" s="5"/>
      <c r="Y82" s="6" t="s">
        <v>2013</v>
      </c>
    </row>
    <row r="83" spans="1:25" ht="20" customHeight="1" x14ac:dyDescent="0.2">
      <c r="A83" s="4" t="s">
        <v>86</v>
      </c>
      <c r="B83" s="5" t="s">
        <v>87</v>
      </c>
      <c r="C83" s="6" t="s">
        <v>995</v>
      </c>
      <c r="D83" s="6" t="s">
        <v>2014</v>
      </c>
      <c r="E83" s="6" t="s">
        <v>929</v>
      </c>
      <c r="F83" s="9" t="s">
        <v>1318</v>
      </c>
      <c r="G83" s="19" t="s">
        <v>2015</v>
      </c>
      <c r="H83" s="5" t="s">
        <v>1407</v>
      </c>
      <c r="I83" s="5" t="s">
        <v>992</v>
      </c>
      <c r="J83" s="5"/>
      <c r="K83" s="6" t="s">
        <v>124</v>
      </c>
      <c r="L83" s="5" t="s">
        <v>2016</v>
      </c>
      <c r="M83" s="5" t="s">
        <v>124</v>
      </c>
      <c r="N83" s="5" t="s">
        <v>1407</v>
      </c>
      <c r="O83" s="5" t="s">
        <v>124</v>
      </c>
      <c r="P83" s="5" t="s">
        <v>933</v>
      </c>
      <c r="Q83" s="5" t="s">
        <v>1459</v>
      </c>
      <c r="R83" s="5" t="s">
        <v>1447</v>
      </c>
      <c r="S83" s="8">
        <v>3</v>
      </c>
      <c r="T83" s="8">
        <v>5</v>
      </c>
      <c r="U83" s="8" t="s">
        <v>1407</v>
      </c>
      <c r="V83" s="5" t="s">
        <v>2017</v>
      </c>
      <c r="W83" s="5" t="s">
        <v>2018</v>
      </c>
      <c r="X83" s="5"/>
      <c r="Y83" s="6" t="s">
        <v>2019</v>
      </c>
    </row>
    <row r="84" spans="1:25" ht="20" customHeight="1" x14ac:dyDescent="0.2">
      <c r="A84" s="4" t="s">
        <v>86</v>
      </c>
      <c r="B84" s="5" t="s">
        <v>87</v>
      </c>
      <c r="C84" s="6" t="s">
        <v>969</v>
      </c>
      <c r="D84" s="6" t="s">
        <v>2020</v>
      </c>
      <c r="E84" s="6" t="s">
        <v>929</v>
      </c>
      <c r="F84" s="9" t="s">
        <v>1318</v>
      </c>
      <c r="G84" s="19" t="s">
        <v>2021</v>
      </c>
      <c r="H84" s="5" t="s">
        <v>1407</v>
      </c>
      <c r="I84" s="5" t="s">
        <v>966</v>
      </c>
      <c r="J84" s="5"/>
      <c r="K84" s="6" t="s">
        <v>124</v>
      </c>
      <c r="L84" s="5" t="s">
        <v>2022</v>
      </c>
      <c r="M84" s="5" t="s">
        <v>124</v>
      </c>
      <c r="N84" s="5" t="s">
        <v>1407</v>
      </c>
      <c r="O84" s="5" t="s">
        <v>124</v>
      </c>
      <c r="P84" s="5" t="s">
        <v>933</v>
      </c>
      <c r="Q84" s="5" t="s">
        <v>1459</v>
      </c>
      <c r="R84" s="5" t="s">
        <v>1447</v>
      </c>
      <c r="S84" s="8">
        <v>4</v>
      </c>
      <c r="T84" s="8">
        <v>5</v>
      </c>
      <c r="U84" s="8" t="s">
        <v>1407</v>
      </c>
      <c r="V84" s="5" t="s">
        <v>2023</v>
      </c>
      <c r="W84" s="5" t="s">
        <v>2024</v>
      </c>
      <c r="X84" s="5"/>
      <c r="Y84" s="6" t="s">
        <v>2025</v>
      </c>
    </row>
    <row r="85" spans="1:25" ht="20" customHeight="1" x14ac:dyDescent="0.2">
      <c r="A85" s="4" t="s">
        <v>86</v>
      </c>
      <c r="B85" s="5" t="s">
        <v>87</v>
      </c>
      <c r="C85" s="6" t="s">
        <v>1032</v>
      </c>
      <c r="D85" s="6" t="s">
        <v>2026</v>
      </c>
      <c r="E85" s="6" t="s">
        <v>929</v>
      </c>
      <c r="F85" s="9" t="s">
        <v>1318</v>
      </c>
      <c r="G85" s="19" t="s">
        <v>2027</v>
      </c>
      <c r="H85" s="5" t="s">
        <v>2028</v>
      </c>
      <c r="I85" s="5" t="s">
        <v>1029</v>
      </c>
      <c r="J85" s="5"/>
      <c r="K85" s="6" t="s">
        <v>124</v>
      </c>
      <c r="L85" s="5" t="s">
        <v>2029</v>
      </c>
      <c r="M85" s="5" t="s">
        <v>124</v>
      </c>
      <c r="N85" s="5" t="s">
        <v>1407</v>
      </c>
      <c r="O85" s="5" t="s">
        <v>124</v>
      </c>
      <c r="P85" s="5" t="s">
        <v>933</v>
      </c>
      <c r="Q85" s="5" t="s">
        <v>1459</v>
      </c>
      <c r="R85" s="5" t="s">
        <v>1447</v>
      </c>
      <c r="S85" s="8">
        <v>3</v>
      </c>
      <c r="T85" s="8">
        <v>4</v>
      </c>
      <c r="U85" s="8" t="s">
        <v>1407</v>
      </c>
      <c r="V85" s="5" t="s">
        <v>2030</v>
      </c>
      <c r="W85" s="5" t="s">
        <v>2031</v>
      </c>
      <c r="X85" s="5"/>
      <c r="Y85" s="6" t="s">
        <v>2032</v>
      </c>
    </row>
    <row r="86" spans="1:25" ht="20" customHeight="1" x14ac:dyDescent="0.2">
      <c r="A86" s="4" t="s">
        <v>86</v>
      </c>
      <c r="B86" s="5" t="s">
        <v>87</v>
      </c>
      <c r="C86" s="6" t="s">
        <v>982</v>
      </c>
      <c r="D86" s="6" t="s">
        <v>2033</v>
      </c>
      <c r="E86" s="6" t="s">
        <v>929</v>
      </c>
      <c r="F86" s="9" t="s">
        <v>1318</v>
      </c>
      <c r="G86" s="19" t="s">
        <v>2034</v>
      </c>
      <c r="H86" s="5" t="s">
        <v>1407</v>
      </c>
      <c r="I86" s="5" t="s">
        <v>979</v>
      </c>
      <c r="J86" s="5"/>
      <c r="K86" s="6" t="s">
        <v>124</v>
      </c>
      <c r="L86" s="5" t="s">
        <v>2035</v>
      </c>
      <c r="M86" s="5" t="s">
        <v>124</v>
      </c>
      <c r="N86" s="5" t="s">
        <v>1407</v>
      </c>
      <c r="O86" s="5" t="s">
        <v>124</v>
      </c>
      <c r="P86" s="5" t="s">
        <v>933</v>
      </c>
      <c r="Q86" s="5" t="s">
        <v>1459</v>
      </c>
      <c r="R86" s="5" t="s">
        <v>1447</v>
      </c>
      <c r="S86" s="8">
        <v>3</v>
      </c>
      <c r="T86" s="8">
        <v>4</v>
      </c>
      <c r="U86" s="8" t="s">
        <v>1407</v>
      </c>
      <c r="V86" s="5" t="s">
        <v>2036</v>
      </c>
      <c r="W86" s="5" t="s">
        <v>2037</v>
      </c>
      <c r="X86" s="5"/>
      <c r="Y86" s="6" t="s">
        <v>2038</v>
      </c>
    </row>
    <row r="87" spans="1:25" ht="20" customHeight="1" x14ac:dyDescent="0.2">
      <c r="A87" s="4" t="s">
        <v>86</v>
      </c>
      <c r="B87" s="5" t="s">
        <v>87</v>
      </c>
      <c r="C87" s="6" t="s">
        <v>963</v>
      </c>
      <c r="D87" s="6" t="s">
        <v>2039</v>
      </c>
      <c r="E87" s="6" t="s">
        <v>929</v>
      </c>
      <c r="F87" s="9" t="s">
        <v>1318</v>
      </c>
      <c r="G87" s="19" t="s">
        <v>2040</v>
      </c>
      <c r="H87" s="5" t="s">
        <v>1407</v>
      </c>
      <c r="I87" s="5" t="s">
        <v>960</v>
      </c>
      <c r="J87" s="5"/>
      <c r="K87" s="6" t="s">
        <v>124</v>
      </c>
      <c r="L87" s="5" t="s">
        <v>2041</v>
      </c>
      <c r="M87" s="5" t="s">
        <v>124</v>
      </c>
      <c r="N87" s="5" t="s">
        <v>1407</v>
      </c>
      <c r="O87" s="5" t="s">
        <v>124</v>
      </c>
      <c r="P87" s="5" t="s">
        <v>933</v>
      </c>
      <c r="Q87" s="5" t="s">
        <v>1459</v>
      </c>
      <c r="R87" s="5" t="s">
        <v>1447</v>
      </c>
      <c r="S87" s="8">
        <v>3</v>
      </c>
      <c r="T87" s="8">
        <v>4</v>
      </c>
      <c r="U87" s="8" t="s">
        <v>1407</v>
      </c>
      <c r="V87" s="5" t="s">
        <v>2023</v>
      </c>
      <c r="W87" s="5" t="s">
        <v>2018</v>
      </c>
      <c r="X87" s="5"/>
      <c r="Y87" s="6" t="s">
        <v>2042</v>
      </c>
    </row>
    <row r="88" spans="1:25" ht="20" customHeight="1" x14ac:dyDescent="0.2">
      <c r="A88" s="4" t="s">
        <v>86</v>
      </c>
      <c r="B88" s="5" t="s">
        <v>87</v>
      </c>
      <c r="C88" s="6" t="s">
        <v>1012</v>
      </c>
      <c r="D88" s="6" t="s">
        <v>2043</v>
      </c>
      <c r="E88" s="6" t="s">
        <v>929</v>
      </c>
      <c r="F88" s="9" t="s">
        <v>1318</v>
      </c>
      <c r="G88" s="19" t="s">
        <v>2044</v>
      </c>
      <c r="H88" s="5" t="s">
        <v>1407</v>
      </c>
      <c r="I88" s="5" t="s">
        <v>1009</v>
      </c>
      <c r="J88" s="5"/>
      <c r="K88" s="6" t="s">
        <v>124</v>
      </c>
      <c r="L88" s="5" t="s">
        <v>2045</v>
      </c>
      <c r="M88" s="5" t="s">
        <v>124</v>
      </c>
      <c r="N88" s="5" t="s">
        <v>1407</v>
      </c>
      <c r="O88" s="5" t="s">
        <v>124</v>
      </c>
      <c r="P88" s="5" t="s">
        <v>933</v>
      </c>
      <c r="Q88" s="5" t="s">
        <v>1459</v>
      </c>
      <c r="R88" s="5" t="s">
        <v>1447</v>
      </c>
      <c r="S88" s="8">
        <v>3</v>
      </c>
      <c r="T88" s="8">
        <v>5</v>
      </c>
      <c r="U88" s="8" t="s">
        <v>2046</v>
      </c>
      <c r="V88" s="5" t="s">
        <v>2047</v>
      </c>
      <c r="W88" s="5" t="s">
        <v>2048</v>
      </c>
      <c r="X88" s="5"/>
      <c r="Y88" s="6" t="s">
        <v>2049</v>
      </c>
    </row>
    <row r="89" spans="1:25" ht="20" customHeight="1" x14ac:dyDescent="0.2">
      <c r="A89" s="4" t="s">
        <v>86</v>
      </c>
      <c r="B89" s="5" t="s">
        <v>87</v>
      </c>
      <c r="C89" s="6" t="s">
        <v>1039</v>
      </c>
      <c r="D89" s="6" t="s">
        <v>2050</v>
      </c>
      <c r="E89" s="6" t="s">
        <v>929</v>
      </c>
      <c r="F89" s="9" t="s">
        <v>1318</v>
      </c>
      <c r="G89" s="19" t="s">
        <v>2051</v>
      </c>
      <c r="H89" s="5" t="s">
        <v>1407</v>
      </c>
      <c r="I89" s="5" t="s">
        <v>1036</v>
      </c>
      <c r="J89" s="5"/>
      <c r="K89" s="6" t="s">
        <v>124</v>
      </c>
      <c r="L89" s="5" t="s">
        <v>2052</v>
      </c>
      <c r="M89" s="5" t="s">
        <v>124</v>
      </c>
      <c r="N89" s="5" t="s">
        <v>1407</v>
      </c>
      <c r="O89" s="5" t="s">
        <v>124</v>
      </c>
      <c r="P89" s="5" t="s">
        <v>933</v>
      </c>
      <c r="Q89" s="5" t="s">
        <v>1459</v>
      </c>
      <c r="R89" s="5" t="s">
        <v>1447</v>
      </c>
      <c r="S89" s="8">
        <v>3</v>
      </c>
      <c r="T89" s="8">
        <v>4</v>
      </c>
      <c r="U89" s="8" t="s">
        <v>1407</v>
      </c>
      <c r="V89" s="5" t="s">
        <v>2036</v>
      </c>
      <c r="W89" s="5" t="s">
        <v>2037</v>
      </c>
      <c r="X89" s="5"/>
      <c r="Y89" s="6" t="s">
        <v>2053</v>
      </c>
    </row>
    <row r="90" spans="1:25" ht="20" customHeight="1" x14ac:dyDescent="0.2">
      <c r="A90" s="4" t="s">
        <v>86</v>
      </c>
      <c r="B90" s="5" t="s">
        <v>87</v>
      </c>
      <c r="C90" s="6" t="s">
        <v>1048</v>
      </c>
      <c r="D90" s="6" t="s">
        <v>2054</v>
      </c>
      <c r="E90" s="6" t="s">
        <v>929</v>
      </c>
      <c r="F90" s="9" t="s">
        <v>1318</v>
      </c>
      <c r="G90" s="19" t="s">
        <v>2055</v>
      </c>
      <c r="H90" s="5" t="s">
        <v>1407</v>
      </c>
      <c r="I90" s="5" t="s">
        <v>1046</v>
      </c>
      <c r="J90" s="5"/>
      <c r="K90" s="6" t="s">
        <v>124</v>
      </c>
      <c r="L90" s="5" t="s">
        <v>2056</v>
      </c>
      <c r="M90" s="5" t="s">
        <v>124</v>
      </c>
      <c r="N90" s="5" t="s">
        <v>1407</v>
      </c>
      <c r="O90" s="5" t="s">
        <v>124</v>
      </c>
      <c r="P90" s="5" t="s">
        <v>933</v>
      </c>
      <c r="Q90" s="5" t="s">
        <v>1459</v>
      </c>
      <c r="R90" s="5" t="s">
        <v>1447</v>
      </c>
      <c r="S90" s="8">
        <v>3</v>
      </c>
      <c r="T90" s="8">
        <v>5</v>
      </c>
      <c r="U90" s="8" t="s">
        <v>1407</v>
      </c>
      <c r="V90" s="5" t="s">
        <v>2023</v>
      </c>
      <c r="W90" s="5" t="s">
        <v>2024</v>
      </c>
      <c r="X90" s="5"/>
      <c r="Y90" s="6" t="s">
        <v>2057</v>
      </c>
    </row>
    <row r="91" spans="1:25" ht="20" customHeight="1" x14ac:dyDescent="0.2">
      <c r="A91" s="4" t="s">
        <v>86</v>
      </c>
      <c r="B91" s="5" t="s">
        <v>87</v>
      </c>
      <c r="C91" s="6" t="s">
        <v>1006</v>
      </c>
      <c r="D91" s="6" t="s">
        <v>2058</v>
      </c>
      <c r="E91" s="6" t="s">
        <v>929</v>
      </c>
      <c r="F91" s="9" t="s">
        <v>1318</v>
      </c>
      <c r="G91" s="19" t="s">
        <v>2059</v>
      </c>
      <c r="H91" s="5" t="s">
        <v>1407</v>
      </c>
      <c r="I91" s="5" t="s">
        <v>1003</v>
      </c>
      <c r="J91" s="5"/>
      <c r="K91" s="6" t="s">
        <v>124</v>
      </c>
      <c r="L91" s="5" t="s">
        <v>2060</v>
      </c>
      <c r="M91" s="5" t="s">
        <v>124</v>
      </c>
      <c r="N91" s="5" t="s">
        <v>1407</v>
      </c>
      <c r="O91" s="5" t="s">
        <v>124</v>
      </c>
      <c r="P91" s="5" t="s">
        <v>933</v>
      </c>
      <c r="Q91" s="5" t="s">
        <v>1459</v>
      </c>
      <c r="R91" s="5" t="s">
        <v>1447</v>
      </c>
      <c r="S91" s="8">
        <v>3</v>
      </c>
      <c r="T91" s="8">
        <v>4</v>
      </c>
      <c r="U91" s="8" t="s">
        <v>2061</v>
      </c>
      <c r="V91" s="5" t="s">
        <v>2062</v>
      </c>
      <c r="W91" s="5" t="s">
        <v>2063</v>
      </c>
      <c r="X91" s="5"/>
      <c r="Y91" s="6" t="s">
        <v>2064</v>
      </c>
    </row>
    <row r="92" spans="1:25" ht="20" customHeight="1" x14ac:dyDescent="0.2">
      <c r="A92" s="4" t="s">
        <v>86</v>
      </c>
      <c r="B92" s="5" t="s">
        <v>87</v>
      </c>
      <c r="C92" s="6" t="s">
        <v>1080</v>
      </c>
      <c r="D92" s="6" t="s">
        <v>2065</v>
      </c>
      <c r="E92" s="6" t="s">
        <v>1063</v>
      </c>
      <c r="F92" s="9" t="s">
        <v>1318</v>
      </c>
      <c r="G92" s="19" t="s">
        <v>2066</v>
      </c>
      <c r="H92" s="5" t="s">
        <v>2067</v>
      </c>
      <c r="I92" s="5" t="s">
        <v>1077</v>
      </c>
      <c r="J92" s="5"/>
      <c r="K92" s="6" t="s">
        <v>1081</v>
      </c>
      <c r="L92" s="5" t="s">
        <v>2068</v>
      </c>
      <c r="M92" s="5" t="s">
        <v>2069</v>
      </c>
      <c r="N92" s="5" t="s">
        <v>1407</v>
      </c>
      <c r="O92" s="5" t="s">
        <v>2070</v>
      </c>
      <c r="P92" s="5" t="s">
        <v>2071</v>
      </c>
      <c r="Q92" s="5" t="s">
        <v>1459</v>
      </c>
      <c r="R92" s="5" t="s">
        <v>1410</v>
      </c>
      <c r="S92" s="8">
        <v>6</v>
      </c>
      <c r="T92" s="8">
        <v>7</v>
      </c>
      <c r="U92" s="8" t="s">
        <v>2072</v>
      </c>
      <c r="V92" s="5" t="s">
        <v>2073</v>
      </c>
      <c r="W92" s="5" t="s">
        <v>2074</v>
      </c>
      <c r="X92" s="5"/>
      <c r="Y92" s="6" t="s">
        <v>2075</v>
      </c>
    </row>
    <row r="93" spans="1:25" ht="20" customHeight="1" x14ac:dyDescent="0.2">
      <c r="A93" s="4" t="s">
        <v>86</v>
      </c>
      <c r="B93" s="5" t="s">
        <v>87</v>
      </c>
      <c r="C93" s="6" t="s">
        <v>2076</v>
      </c>
      <c r="D93" s="6" t="s">
        <v>2077</v>
      </c>
      <c r="E93" s="6" t="s">
        <v>1063</v>
      </c>
      <c r="F93" s="9" t="s">
        <v>1318</v>
      </c>
      <c r="G93" s="19" t="s">
        <v>2078</v>
      </c>
      <c r="H93" s="5" t="s">
        <v>2079</v>
      </c>
      <c r="I93" s="5" t="s">
        <v>2080</v>
      </c>
      <c r="J93" s="5"/>
      <c r="K93" s="6" t="s">
        <v>2081</v>
      </c>
      <c r="L93" s="5" t="s">
        <v>2082</v>
      </c>
      <c r="M93" s="5" t="s">
        <v>124</v>
      </c>
      <c r="N93" s="5" t="s">
        <v>1407</v>
      </c>
      <c r="O93" s="5" t="s">
        <v>2081</v>
      </c>
      <c r="P93" s="5" t="s">
        <v>2071</v>
      </c>
      <c r="Q93" s="5" t="s">
        <v>1459</v>
      </c>
      <c r="R93" s="5" t="s">
        <v>1410</v>
      </c>
      <c r="S93" s="8">
        <v>5</v>
      </c>
      <c r="T93" s="8">
        <v>5</v>
      </c>
      <c r="U93" s="8" t="s">
        <v>1407</v>
      </c>
      <c r="V93" s="5" t="s">
        <v>2083</v>
      </c>
      <c r="W93" s="5" t="s">
        <v>2084</v>
      </c>
      <c r="X93" s="5"/>
      <c r="Y93" s="6" t="s">
        <v>2085</v>
      </c>
    </row>
    <row r="94" spans="1:25" ht="20" customHeight="1" x14ac:dyDescent="0.2">
      <c r="A94" s="4" t="s">
        <v>86</v>
      </c>
      <c r="B94" s="5" t="s">
        <v>87</v>
      </c>
      <c r="C94" s="6" t="s">
        <v>2086</v>
      </c>
      <c r="D94" s="6" t="s">
        <v>2087</v>
      </c>
      <c r="E94" s="6" t="s">
        <v>1063</v>
      </c>
      <c r="F94" s="9" t="s">
        <v>1318</v>
      </c>
      <c r="G94" s="19" t="s">
        <v>2088</v>
      </c>
      <c r="H94" s="5" t="s">
        <v>1407</v>
      </c>
      <c r="I94" s="5" t="s">
        <v>2089</v>
      </c>
      <c r="J94" s="5"/>
      <c r="K94" s="6" t="s">
        <v>2090</v>
      </c>
      <c r="L94" s="5" t="s">
        <v>2091</v>
      </c>
      <c r="M94" s="5" t="s">
        <v>2092</v>
      </c>
      <c r="N94" s="5" t="s">
        <v>2093</v>
      </c>
      <c r="O94" s="5" t="s">
        <v>2094</v>
      </c>
      <c r="P94" s="5" t="s">
        <v>1066</v>
      </c>
      <c r="Q94" s="5" t="s">
        <v>1459</v>
      </c>
      <c r="R94" s="5" t="s">
        <v>1410</v>
      </c>
      <c r="S94" s="8">
        <v>4</v>
      </c>
      <c r="T94" s="8">
        <v>6</v>
      </c>
      <c r="U94" s="8" t="s">
        <v>2095</v>
      </c>
      <c r="V94" s="5" t="s">
        <v>2096</v>
      </c>
      <c r="W94" s="5" t="s">
        <v>2097</v>
      </c>
      <c r="X94" s="5"/>
      <c r="Y94" s="6" t="s">
        <v>2098</v>
      </c>
    </row>
    <row r="95" spans="1:25" ht="20" customHeight="1" x14ac:dyDescent="0.2">
      <c r="A95" s="4" t="s">
        <v>86</v>
      </c>
      <c r="B95" s="5" t="s">
        <v>87</v>
      </c>
      <c r="C95" s="6" t="s">
        <v>1097</v>
      </c>
      <c r="D95" s="6" t="s">
        <v>2099</v>
      </c>
      <c r="E95" s="6" t="s">
        <v>1063</v>
      </c>
      <c r="F95" s="9" t="s">
        <v>1318</v>
      </c>
      <c r="G95" s="19" t="s">
        <v>2100</v>
      </c>
      <c r="H95" s="5" t="s">
        <v>1407</v>
      </c>
      <c r="I95" s="5" t="s">
        <v>1094</v>
      </c>
      <c r="J95" s="5"/>
      <c r="K95" s="6" t="s">
        <v>1098</v>
      </c>
      <c r="L95" s="5" t="s">
        <v>2101</v>
      </c>
      <c r="M95" s="5" t="s">
        <v>124</v>
      </c>
      <c r="N95" s="5" t="s">
        <v>1407</v>
      </c>
      <c r="O95" s="5" t="s">
        <v>1098</v>
      </c>
      <c r="P95" s="5" t="s">
        <v>1066</v>
      </c>
      <c r="Q95" s="5" t="s">
        <v>1459</v>
      </c>
      <c r="R95" s="5" t="s">
        <v>1410</v>
      </c>
      <c r="S95" s="8">
        <v>4</v>
      </c>
      <c r="T95" s="8">
        <v>5</v>
      </c>
      <c r="U95" s="8" t="s">
        <v>1407</v>
      </c>
      <c r="V95" s="5" t="s">
        <v>2102</v>
      </c>
      <c r="W95" s="5" t="s">
        <v>2103</v>
      </c>
      <c r="X95" s="5"/>
      <c r="Y95" s="6" t="s">
        <v>2104</v>
      </c>
    </row>
    <row r="96" spans="1:25" ht="20" customHeight="1" x14ac:dyDescent="0.2">
      <c r="A96" s="4" t="s">
        <v>86</v>
      </c>
      <c r="B96" s="5" t="s">
        <v>87</v>
      </c>
      <c r="C96" s="6" t="s">
        <v>1092</v>
      </c>
      <c r="D96" s="6" t="s">
        <v>2105</v>
      </c>
      <c r="E96" s="6" t="s">
        <v>1063</v>
      </c>
      <c r="F96" s="9" t="s">
        <v>1318</v>
      </c>
      <c r="G96" s="19" t="s">
        <v>2106</v>
      </c>
      <c r="H96" s="5" t="s">
        <v>1407</v>
      </c>
      <c r="I96" s="5" t="s">
        <v>1089</v>
      </c>
      <c r="J96" s="5"/>
      <c r="K96" s="6" t="s">
        <v>124</v>
      </c>
      <c r="L96" s="5" t="s">
        <v>2107</v>
      </c>
      <c r="M96" s="5" t="s">
        <v>124</v>
      </c>
      <c r="N96" s="5" t="s">
        <v>1407</v>
      </c>
      <c r="O96" s="5" t="s">
        <v>124</v>
      </c>
      <c r="P96" s="5" t="s">
        <v>1066</v>
      </c>
      <c r="Q96" s="5" t="s">
        <v>1459</v>
      </c>
      <c r="R96" s="5" t="s">
        <v>1410</v>
      </c>
      <c r="S96" s="8">
        <v>4</v>
      </c>
      <c r="T96" s="8">
        <v>5</v>
      </c>
      <c r="U96" s="8" t="s">
        <v>1407</v>
      </c>
      <c r="V96" s="5" t="s">
        <v>2108</v>
      </c>
      <c r="W96" s="5" t="s">
        <v>2109</v>
      </c>
      <c r="X96" s="5"/>
      <c r="Y96" s="6" t="s">
        <v>2110</v>
      </c>
    </row>
    <row r="97" spans="1:25" ht="20" customHeight="1" x14ac:dyDescent="0.2">
      <c r="A97" s="4" t="s">
        <v>86</v>
      </c>
      <c r="B97" s="5" t="s">
        <v>87</v>
      </c>
      <c r="C97" s="6" t="s">
        <v>1133</v>
      </c>
      <c r="D97" s="6" t="s">
        <v>2111</v>
      </c>
      <c r="E97" s="6" t="s">
        <v>1063</v>
      </c>
      <c r="F97" s="9" t="s">
        <v>1318</v>
      </c>
      <c r="G97" s="19" t="s">
        <v>2112</v>
      </c>
      <c r="H97" s="5" t="s">
        <v>1407</v>
      </c>
      <c r="I97" s="5" t="s">
        <v>1130</v>
      </c>
      <c r="J97" s="5"/>
      <c r="K97" s="6" t="s">
        <v>124</v>
      </c>
      <c r="L97" s="5" t="s">
        <v>2113</v>
      </c>
      <c r="M97" s="5" t="s">
        <v>124</v>
      </c>
      <c r="N97" s="5" t="s">
        <v>1407</v>
      </c>
      <c r="O97" s="5" t="s">
        <v>124</v>
      </c>
      <c r="P97" s="5" t="s">
        <v>1066</v>
      </c>
      <c r="Q97" s="5" t="s">
        <v>1459</v>
      </c>
      <c r="R97" s="5" t="s">
        <v>1410</v>
      </c>
      <c r="S97" s="8">
        <v>4</v>
      </c>
      <c r="T97" s="8">
        <v>4</v>
      </c>
      <c r="U97" s="8" t="s">
        <v>1407</v>
      </c>
      <c r="V97" s="5" t="s">
        <v>2114</v>
      </c>
      <c r="W97" s="5" t="s">
        <v>2115</v>
      </c>
      <c r="X97" s="5"/>
      <c r="Y97" s="6" t="s">
        <v>2116</v>
      </c>
    </row>
    <row r="98" spans="1:25" ht="20" customHeight="1" x14ac:dyDescent="0.2">
      <c r="A98" s="4" t="s">
        <v>86</v>
      </c>
      <c r="B98" s="5" t="s">
        <v>87</v>
      </c>
      <c r="C98" s="6" t="s">
        <v>2117</v>
      </c>
      <c r="D98" s="6" t="s">
        <v>2118</v>
      </c>
      <c r="E98" s="6" t="s">
        <v>1063</v>
      </c>
      <c r="F98" s="9" t="s">
        <v>1318</v>
      </c>
      <c r="G98" s="19" t="s">
        <v>2119</v>
      </c>
      <c r="H98" s="5" t="s">
        <v>1407</v>
      </c>
      <c r="I98" s="5" t="s">
        <v>2120</v>
      </c>
      <c r="J98" s="5"/>
      <c r="K98" s="6" t="s">
        <v>124</v>
      </c>
      <c r="L98" s="5" t="s">
        <v>2121</v>
      </c>
      <c r="M98" s="5" t="s">
        <v>124</v>
      </c>
      <c r="N98" s="5" t="s">
        <v>1407</v>
      </c>
      <c r="O98" s="5" t="s">
        <v>124</v>
      </c>
      <c r="P98" s="5" t="s">
        <v>1066</v>
      </c>
      <c r="Q98" s="5" t="s">
        <v>1459</v>
      </c>
      <c r="R98" s="5" t="s">
        <v>1410</v>
      </c>
      <c r="S98" s="8">
        <v>5</v>
      </c>
      <c r="T98" s="8">
        <v>5</v>
      </c>
      <c r="U98" s="8" t="s">
        <v>2122</v>
      </c>
      <c r="V98" s="5" t="s">
        <v>2123</v>
      </c>
      <c r="W98" s="5" t="s">
        <v>2124</v>
      </c>
      <c r="X98" s="5"/>
      <c r="Y98" s="6" t="s">
        <v>2125</v>
      </c>
    </row>
    <row r="99" spans="1:25" ht="20" customHeight="1" x14ac:dyDescent="0.2">
      <c r="A99" s="4" t="s">
        <v>86</v>
      </c>
      <c r="B99" s="5" t="s">
        <v>87</v>
      </c>
      <c r="C99" s="6" t="s">
        <v>1104</v>
      </c>
      <c r="D99" s="6" t="s">
        <v>2126</v>
      </c>
      <c r="E99" s="6" t="s">
        <v>1063</v>
      </c>
      <c r="F99" s="9" t="s">
        <v>1318</v>
      </c>
      <c r="G99" s="19" t="s">
        <v>2127</v>
      </c>
      <c r="H99" s="5" t="s">
        <v>1407</v>
      </c>
      <c r="I99" s="5" t="s">
        <v>1101</v>
      </c>
      <c r="J99" s="5"/>
      <c r="K99" s="6" t="s">
        <v>124</v>
      </c>
      <c r="L99" s="5" t="s">
        <v>2128</v>
      </c>
      <c r="M99" s="5" t="s">
        <v>124</v>
      </c>
      <c r="N99" s="5" t="s">
        <v>1407</v>
      </c>
      <c r="O99" s="5" t="s">
        <v>124</v>
      </c>
      <c r="P99" s="5" t="s">
        <v>1066</v>
      </c>
      <c r="Q99" s="5" t="s">
        <v>1459</v>
      </c>
      <c r="R99" s="5" t="s">
        <v>1410</v>
      </c>
      <c r="S99" s="8">
        <v>3</v>
      </c>
      <c r="T99" s="8">
        <v>4</v>
      </c>
      <c r="U99" s="8" t="s">
        <v>1407</v>
      </c>
      <c r="V99" s="5" t="s">
        <v>2102</v>
      </c>
      <c r="W99" s="5" t="s">
        <v>2129</v>
      </c>
      <c r="X99" s="5"/>
      <c r="Y99" s="6" t="s">
        <v>2130</v>
      </c>
    </row>
    <row r="100" spans="1:25" ht="20" customHeight="1" x14ac:dyDescent="0.2">
      <c r="A100" s="4" t="s">
        <v>86</v>
      </c>
      <c r="B100" s="5" t="s">
        <v>87</v>
      </c>
      <c r="C100" s="6" t="s">
        <v>1127</v>
      </c>
      <c r="D100" s="6" t="s">
        <v>2131</v>
      </c>
      <c r="E100" s="6" t="s">
        <v>1063</v>
      </c>
      <c r="F100" s="9" t="s">
        <v>1318</v>
      </c>
      <c r="G100" s="19" t="s">
        <v>2132</v>
      </c>
      <c r="H100" s="5" t="s">
        <v>1407</v>
      </c>
      <c r="I100" s="5" t="s">
        <v>1124</v>
      </c>
      <c r="J100" s="5"/>
      <c r="K100" s="6" t="s">
        <v>124</v>
      </c>
      <c r="L100" s="5" t="s">
        <v>2133</v>
      </c>
      <c r="M100" s="5" t="s">
        <v>124</v>
      </c>
      <c r="N100" s="5" t="s">
        <v>1407</v>
      </c>
      <c r="O100" s="5" t="s">
        <v>124</v>
      </c>
      <c r="P100" s="5" t="s">
        <v>1066</v>
      </c>
      <c r="Q100" s="5" t="s">
        <v>1459</v>
      </c>
      <c r="R100" s="5" t="s">
        <v>1410</v>
      </c>
      <c r="S100" s="8">
        <v>3</v>
      </c>
      <c r="T100" s="8">
        <v>4</v>
      </c>
      <c r="U100" s="8" t="s">
        <v>1407</v>
      </c>
      <c r="V100" s="5" t="s">
        <v>2114</v>
      </c>
      <c r="W100" s="5" t="s">
        <v>2115</v>
      </c>
      <c r="X100" s="5"/>
      <c r="Y100" s="6" t="s">
        <v>2134</v>
      </c>
    </row>
    <row r="101" spans="1:25" ht="20" customHeight="1" x14ac:dyDescent="0.2">
      <c r="A101" s="4" t="s">
        <v>86</v>
      </c>
      <c r="B101" s="5" t="s">
        <v>87</v>
      </c>
      <c r="C101" s="6" t="s">
        <v>2135</v>
      </c>
      <c r="D101" s="6" t="s">
        <v>2136</v>
      </c>
      <c r="E101" s="6" t="s">
        <v>1063</v>
      </c>
      <c r="F101" s="10" t="s">
        <v>1320</v>
      </c>
      <c r="G101" s="19" t="s">
        <v>2137</v>
      </c>
      <c r="H101" s="5" t="s">
        <v>1407</v>
      </c>
      <c r="I101" s="5" t="s">
        <v>392</v>
      </c>
      <c r="J101" s="5"/>
      <c r="K101" s="6" t="s">
        <v>2138</v>
      </c>
      <c r="L101" s="5" t="s">
        <v>2139</v>
      </c>
      <c r="M101" s="5" t="s">
        <v>124</v>
      </c>
      <c r="N101" s="5" t="s">
        <v>1407</v>
      </c>
      <c r="O101" s="5" t="s">
        <v>2138</v>
      </c>
      <c r="P101" s="5" t="s">
        <v>2140</v>
      </c>
      <c r="Q101" s="5" t="s">
        <v>206</v>
      </c>
      <c r="R101" s="5" t="s">
        <v>1410</v>
      </c>
      <c r="S101" s="8">
        <v>3</v>
      </c>
      <c r="T101" s="8">
        <v>2</v>
      </c>
      <c r="U101" s="8" t="s">
        <v>2141</v>
      </c>
      <c r="V101" s="5" t="s">
        <v>2142</v>
      </c>
      <c r="W101" s="5" t="s">
        <v>2143</v>
      </c>
      <c r="X101" s="5"/>
      <c r="Y101" s="6" t="s">
        <v>2144</v>
      </c>
    </row>
    <row r="102" spans="1:25" ht="20" customHeight="1" x14ac:dyDescent="0.2">
      <c r="A102" s="4" t="s">
        <v>86</v>
      </c>
      <c r="B102" s="5" t="s">
        <v>87</v>
      </c>
      <c r="C102" s="6" t="s">
        <v>1171</v>
      </c>
      <c r="D102" s="6" t="s">
        <v>2145</v>
      </c>
      <c r="E102" s="6" t="s">
        <v>1146</v>
      </c>
      <c r="F102" s="9" t="s">
        <v>1318</v>
      </c>
      <c r="G102" s="19" t="s">
        <v>2146</v>
      </c>
      <c r="H102" s="5" t="s">
        <v>2147</v>
      </c>
      <c r="I102" s="5" t="s">
        <v>2148</v>
      </c>
      <c r="J102" s="5"/>
      <c r="K102" s="6" t="s">
        <v>1172</v>
      </c>
      <c r="L102" s="5" t="s">
        <v>2149</v>
      </c>
      <c r="M102" s="5" t="s">
        <v>2150</v>
      </c>
      <c r="N102" s="5" t="s">
        <v>1407</v>
      </c>
      <c r="O102" s="5" t="s">
        <v>2151</v>
      </c>
      <c r="P102" s="5" t="s">
        <v>1150</v>
      </c>
      <c r="Q102" s="5" t="s">
        <v>1459</v>
      </c>
      <c r="R102" s="5" t="s">
        <v>1435</v>
      </c>
      <c r="S102" s="8">
        <v>4</v>
      </c>
      <c r="T102" s="8">
        <v>6</v>
      </c>
      <c r="U102" s="8" t="s">
        <v>2152</v>
      </c>
      <c r="V102" s="5" t="s">
        <v>2153</v>
      </c>
      <c r="W102" s="5" t="s">
        <v>2154</v>
      </c>
      <c r="X102" s="5"/>
      <c r="Y102" s="6" t="s">
        <v>2155</v>
      </c>
    </row>
    <row r="103" spans="1:25" ht="20" customHeight="1" x14ac:dyDescent="0.2">
      <c r="A103" s="4" t="s">
        <v>86</v>
      </c>
      <c r="B103" s="5" t="s">
        <v>87</v>
      </c>
      <c r="C103" s="6" t="s">
        <v>1202</v>
      </c>
      <c r="D103" s="6" t="s">
        <v>2156</v>
      </c>
      <c r="E103" s="6" t="s">
        <v>1146</v>
      </c>
      <c r="F103" s="9" t="s">
        <v>1318</v>
      </c>
      <c r="G103" s="19" t="s">
        <v>2157</v>
      </c>
      <c r="H103" s="5" t="s">
        <v>1407</v>
      </c>
      <c r="I103" s="5" t="s">
        <v>2158</v>
      </c>
      <c r="J103" s="5"/>
      <c r="K103" s="6" t="s">
        <v>124</v>
      </c>
      <c r="L103" s="5" t="s">
        <v>2159</v>
      </c>
      <c r="M103" s="5" t="s">
        <v>124</v>
      </c>
      <c r="N103" s="5" t="s">
        <v>1407</v>
      </c>
      <c r="O103" s="5" t="s">
        <v>124</v>
      </c>
      <c r="P103" s="5" t="s">
        <v>1150</v>
      </c>
      <c r="Q103" s="5" t="s">
        <v>1459</v>
      </c>
      <c r="R103" s="5" t="s">
        <v>1435</v>
      </c>
      <c r="S103" s="8">
        <v>3</v>
      </c>
      <c r="T103" s="8">
        <v>5</v>
      </c>
      <c r="U103" s="8" t="s">
        <v>2160</v>
      </c>
      <c r="V103" s="5" t="s">
        <v>2161</v>
      </c>
      <c r="W103" s="5" t="s">
        <v>2162</v>
      </c>
      <c r="X103" s="5"/>
      <c r="Y103" s="6" t="s">
        <v>2163</v>
      </c>
    </row>
    <row r="104" spans="1:25" ht="20" customHeight="1" x14ac:dyDescent="0.2">
      <c r="A104" s="4" t="s">
        <v>86</v>
      </c>
      <c r="B104" s="5" t="s">
        <v>87</v>
      </c>
      <c r="C104" s="6" t="s">
        <v>2164</v>
      </c>
      <c r="D104" s="6" t="s">
        <v>2165</v>
      </c>
      <c r="E104" s="6" t="s">
        <v>1146</v>
      </c>
      <c r="F104" s="9" t="s">
        <v>1318</v>
      </c>
      <c r="G104" s="19" t="s">
        <v>2166</v>
      </c>
      <c r="H104" s="5" t="s">
        <v>1407</v>
      </c>
      <c r="I104" s="5" t="s">
        <v>2167</v>
      </c>
      <c r="J104" s="5"/>
      <c r="K104" s="6" t="s">
        <v>124</v>
      </c>
      <c r="L104" s="5" t="s">
        <v>2168</v>
      </c>
      <c r="M104" s="5" t="s">
        <v>124</v>
      </c>
      <c r="N104" s="5" t="s">
        <v>1407</v>
      </c>
      <c r="O104" s="5" t="s">
        <v>124</v>
      </c>
      <c r="P104" s="5" t="s">
        <v>1150</v>
      </c>
      <c r="Q104" s="5" t="s">
        <v>1459</v>
      </c>
      <c r="R104" s="5" t="s">
        <v>1435</v>
      </c>
      <c r="S104" s="8">
        <v>3</v>
      </c>
      <c r="T104" s="8">
        <v>6</v>
      </c>
      <c r="U104" s="8" t="s">
        <v>1407</v>
      </c>
      <c r="V104" s="5" t="s">
        <v>2169</v>
      </c>
      <c r="W104" s="5" t="s">
        <v>2170</v>
      </c>
      <c r="X104" s="5"/>
      <c r="Y104" s="6" t="s">
        <v>2171</v>
      </c>
    </row>
    <row r="105" spans="1:25" ht="20" customHeight="1" x14ac:dyDescent="0.2">
      <c r="A105" s="4" t="s">
        <v>86</v>
      </c>
      <c r="B105" s="5" t="s">
        <v>87</v>
      </c>
      <c r="C105" s="6" t="s">
        <v>2172</v>
      </c>
      <c r="D105" s="6" t="s">
        <v>2173</v>
      </c>
      <c r="E105" s="6" t="s">
        <v>1146</v>
      </c>
      <c r="F105" s="9" t="s">
        <v>1318</v>
      </c>
      <c r="G105" s="19" t="s">
        <v>2174</v>
      </c>
      <c r="H105" s="5" t="s">
        <v>1407</v>
      </c>
      <c r="I105" s="5" t="s">
        <v>2175</v>
      </c>
      <c r="J105" s="5"/>
      <c r="K105" s="6" t="s">
        <v>124</v>
      </c>
      <c r="L105" s="5" t="s">
        <v>2176</v>
      </c>
      <c r="M105" s="5" t="s">
        <v>124</v>
      </c>
      <c r="N105" s="5" t="s">
        <v>1407</v>
      </c>
      <c r="O105" s="5" t="s">
        <v>124</v>
      </c>
      <c r="P105" s="5" t="s">
        <v>1150</v>
      </c>
      <c r="Q105" s="5" t="s">
        <v>1459</v>
      </c>
      <c r="R105" s="5" t="s">
        <v>1435</v>
      </c>
      <c r="S105" s="8">
        <v>3</v>
      </c>
      <c r="T105" s="8">
        <v>5</v>
      </c>
      <c r="U105" s="8" t="s">
        <v>2177</v>
      </c>
      <c r="V105" s="5" t="s">
        <v>2178</v>
      </c>
      <c r="W105" s="5" t="s">
        <v>2179</v>
      </c>
      <c r="X105" s="5"/>
      <c r="Y105" s="6" t="s">
        <v>2180</v>
      </c>
    </row>
    <row r="106" spans="1:25" ht="20" customHeight="1" x14ac:dyDescent="0.2">
      <c r="A106" s="4" t="s">
        <v>86</v>
      </c>
      <c r="B106" s="5" t="s">
        <v>87</v>
      </c>
      <c r="C106" s="6" t="s">
        <v>1159</v>
      </c>
      <c r="D106" s="6" t="s">
        <v>2181</v>
      </c>
      <c r="E106" s="6" t="s">
        <v>1146</v>
      </c>
      <c r="F106" s="9" t="s">
        <v>1318</v>
      </c>
      <c r="G106" s="19" t="s">
        <v>2182</v>
      </c>
      <c r="H106" s="5" t="s">
        <v>1407</v>
      </c>
      <c r="I106" s="5" t="s">
        <v>1188</v>
      </c>
      <c r="J106" s="5"/>
      <c r="K106" s="6" t="s">
        <v>124</v>
      </c>
      <c r="L106" s="5" t="s">
        <v>2183</v>
      </c>
      <c r="M106" s="5" t="s">
        <v>124</v>
      </c>
      <c r="N106" s="5" t="s">
        <v>1407</v>
      </c>
      <c r="O106" s="5" t="s">
        <v>124</v>
      </c>
      <c r="P106" s="5" t="s">
        <v>1150</v>
      </c>
      <c r="Q106" s="5" t="s">
        <v>1459</v>
      </c>
      <c r="R106" s="5" t="s">
        <v>1435</v>
      </c>
      <c r="S106" s="8">
        <v>3</v>
      </c>
      <c r="T106" s="8">
        <v>5</v>
      </c>
      <c r="U106" s="8" t="s">
        <v>2184</v>
      </c>
      <c r="V106" s="5" t="s">
        <v>2185</v>
      </c>
      <c r="W106" s="5" t="s">
        <v>2186</v>
      </c>
      <c r="X106" s="5"/>
      <c r="Y106" s="6" t="s">
        <v>2187</v>
      </c>
    </row>
    <row r="107" spans="1:25" ht="20" customHeight="1" x14ac:dyDescent="0.2">
      <c r="A107" s="4" t="s">
        <v>86</v>
      </c>
      <c r="B107" s="5" t="s">
        <v>87</v>
      </c>
      <c r="C107" s="6" t="s">
        <v>2188</v>
      </c>
      <c r="D107" s="6" t="s">
        <v>2189</v>
      </c>
      <c r="E107" s="6" t="s">
        <v>1146</v>
      </c>
      <c r="F107" s="9" t="s">
        <v>1318</v>
      </c>
      <c r="G107" s="19" t="s">
        <v>2190</v>
      </c>
      <c r="H107" s="5" t="s">
        <v>1407</v>
      </c>
      <c r="I107" s="5" t="s">
        <v>2191</v>
      </c>
      <c r="J107" s="5"/>
      <c r="K107" s="6" t="s">
        <v>124</v>
      </c>
      <c r="L107" s="5" t="s">
        <v>2192</v>
      </c>
      <c r="M107" s="5" t="s">
        <v>124</v>
      </c>
      <c r="N107" s="5" t="s">
        <v>1407</v>
      </c>
      <c r="O107" s="5" t="s">
        <v>124</v>
      </c>
      <c r="P107" s="5" t="s">
        <v>1150</v>
      </c>
      <c r="Q107" s="5" t="s">
        <v>1459</v>
      </c>
      <c r="R107" s="5" t="s">
        <v>1435</v>
      </c>
      <c r="S107" s="8">
        <v>3</v>
      </c>
      <c r="T107" s="8">
        <v>5</v>
      </c>
      <c r="U107" s="8" t="s">
        <v>1407</v>
      </c>
      <c r="V107" s="5" t="s">
        <v>2193</v>
      </c>
      <c r="W107" s="5" t="s">
        <v>2194</v>
      </c>
      <c r="X107" s="5"/>
      <c r="Y107" s="6" t="s">
        <v>2195</v>
      </c>
    </row>
    <row r="108" spans="1:25" ht="20" customHeight="1" x14ac:dyDescent="0.2">
      <c r="A108" s="4" t="s">
        <v>86</v>
      </c>
      <c r="B108" s="5" t="s">
        <v>87</v>
      </c>
      <c r="C108" s="6" t="s">
        <v>2196</v>
      </c>
      <c r="D108" s="6" t="s">
        <v>2197</v>
      </c>
      <c r="E108" s="6" t="s">
        <v>1146</v>
      </c>
      <c r="F108" s="9" t="s">
        <v>1318</v>
      </c>
      <c r="G108" s="19" t="s">
        <v>2198</v>
      </c>
      <c r="H108" s="5" t="s">
        <v>1407</v>
      </c>
      <c r="I108" s="5" t="s">
        <v>2175</v>
      </c>
      <c r="J108" s="5"/>
      <c r="K108" s="6" t="s">
        <v>124</v>
      </c>
      <c r="L108" s="5" t="s">
        <v>2176</v>
      </c>
      <c r="M108" s="5" t="s">
        <v>124</v>
      </c>
      <c r="N108" s="5" t="s">
        <v>1407</v>
      </c>
      <c r="O108" s="5" t="s">
        <v>124</v>
      </c>
      <c r="P108" s="5" t="s">
        <v>1150</v>
      </c>
      <c r="Q108" s="5" t="s">
        <v>1459</v>
      </c>
      <c r="R108" s="5" t="s">
        <v>1435</v>
      </c>
      <c r="S108" s="8">
        <v>2</v>
      </c>
      <c r="T108" s="8">
        <v>4</v>
      </c>
      <c r="U108" s="8" t="s">
        <v>2199</v>
      </c>
      <c r="V108" s="5" t="s">
        <v>2200</v>
      </c>
      <c r="W108" s="5" t="s">
        <v>2201</v>
      </c>
      <c r="X108" s="5"/>
      <c r="Y108" s="6" t="s">
        <v>2202</v>
      </c>
    </row>
    <row r="109" spans="1:25" ht="20" customHeight="1" x14ac:dyDescent="0.2">
      <c r="A109" s="4" t="s">
        <v>86</v>
      </c>
      <c r="B109" s="5" t="s">
        <v>87</v>
      </c>
      <c r="C109" s="6" t="s">
        <v>2203</v>
      </c>
      <c r="D109" s="6" t="s">
        <v>2204</v>
      </c>
      <c r="E109" s="6" t="s">
        <v>1146</v>
      </c>
      <c r="F109" s="9" t="s">
        <v>1318</v>
      </c>
      <c r="G109" s="19" t="s">
        <v>2205</v>
      </c>
      <c r="H109" s="5" t="s">
        <v>2206</v>
      </c>
      <c r="I109" s="5" t="s">
        <v>341</v>
      </c>
      <c r="J109" s="5"/>
      <c r="K109" s="6" t="s">
        <v>124</v>
      </c>
      <c r="L109" s="5" t="s">
        <v>2207</v>
      </c>
      <c r="M109" s="5" t="s">
        <v>124</v>
      </c>
      <c r="N109" s="5" t="s">
        <v>1407</v>
      </c>
      <c r="O109" s="5" t="s">
        <v>124</v>
      </c>
      <c r="P109" s="5" t="s">
        <v>1150</v>
      </c>
      <c r="Q109" s="5" t="s">
        <v>1459</v>
      </c>
      <c r="R109" s="5" t="s">
        <v>1435</v>
      </c>
      <c r="S109" s="8">
        <v>2</v>
      </c>
      <c r="T109" s="8">
        <v>4</v>
      </c>
      <c r="U109" s="8" t="s">
        <v>2208</v>
      </c>
      <c r="V109" s="5" t="s">
        <v>2209</v>
      </c>
      <c r="W109" s="5" t="s">
        <v>2210</v>
      </c>
      <c r="X109" s="5"/>
      <c r="Y109" s="6" t="s">
        <v>2211</v>
      </c>
    </row>
    <row r="110" spans="1:25" ht="20" customHeight="1" x14ac:dyDescent="0.2">
      <c r="A110" s="4" t="s">
        <v>86</v>
      </c>
      <c r="B110" s="5" t="s">
        <v>87</v>
      </c>
      <c r="C110" s="6" t="s">
        <v>1208</v>
      </c>
      <c r="D110" s="6" t="s">
        <v>2212</v>
      </c>
      <c r="E110" s="6" t="s">
        <v>1146</v>
      </c>
      <c r="F110" s="9" t="s">
        <v>1318</v>
      </c>
      <c r="G110" s="19" t="s">
        <v>2213</v>
      </c>
      <c r="H110" s="5" t="s">
        <v>1407</v>
      </c>
      <c r="I110" s="5" t="s">
        <v>2214</v>
      </c>
      <c r="J110" s="5"/>
      <c r="K110" s="6" t="s">
        <v>124</v>
      </c>
      <c r="L110" s="5" t="s">
        <v>2215</v>
      </c>
      <c r="M110" s="5" t="s">
        <v>124</v>
      </c>
      <c r="N110" s="5" t="s">
        <v>1407</v>
      </c>
      <c r="O110" s="5" t="s">
        <v>124</v>
      </c>
      <c r="P110" s="5" t="s">
        <v>1150</v>
      </c>
      <c r="Q110" s="5" t="s">
        <v>1459</v>
      </c>
      <c r="R110" s="5" t="s">
        <v>1435</v>
      </c>
      <c r="S110" s="8">
        <v>2</v>
      </c>
      <c r="T110" s="8">
        <v>4</v>
      </c>
      <c r="U110" s="8" t="s">
        <v>1407</v>
      </c>
      <c r="V110" s="5" t="s">
        <v>2216</v>
      </c>
      <c r="W110" s="5" t="s">
        <v>2217</v>
      </c>
      <c r="X110" s="5"/>
      <c r="Y110" s="6" t="s">
        <v>2218</v>
      </c>
    </row>
    <row r="111" spans="1:25" ht="20" customHeight="1" x14ac:dyDescent="0.2">
      <c r="A111" s="4" t="s">
        <v>86</v>
      </c>
      <c r="B111" s="5" t="s">
        <v>87</v>
      </c>
      <c r="C111" s="6" t="s">
        <v>1184</v>
      </c>
      <c r="D111" s="6" t="s">
        <v>2219</v>
      </c>
      <c r="E111" s="6" t="s">
        <v>1146</v>
      </c>
      <c r="F111" s="10" t="s">
        <v>1320</v>
      </c>
      <c r="G111" s="19" t="s">
        <v>2220</v>
      </c>
      <c r="H111" s="5" t="s">
        <v>1407</v>
      </c>
      <c r="I111" s="5" t="s">
        <v>1181</v>
      </c>
      <c r="J111" s="5"/>
      <c r="K111" s="6" t="s">
        <v>124</v>
      </c>
      <c r="L111" s="5" t="s">
        <v>2221</v>
      </c>
      <c r="M111" s="5" t="s">
        <v>124</v>
      </c>
      <c r="N111" s="5" t="s">
        <v>1407</v>
      </c>
      <c r="O111" s="5" t="s">
        <v>124</v>
      </c>
      <c r="P111" s="5" t="s">
        <v>1150</v>
      </c>
      <c r="Q111" s="5" t="s">
        <v>1459</v>
      </c>
      <c r="R111" s="5" t="s">
        <v>1435</v>
      </c>
      <c r="S111" s="8">
        <v>2</v>
      </c>
      <c r="T111" s="8">
        <v>3</v>
      </c>
      <c r="U111" s="8" t="s">
        <v>1407</v>
      </c>
      <c r="V111" s="5" t="s">
        <v>2222</v>
      </c>
      <c r="W111" s="5" t="s">
        <v>2223</v>
      </c>
      <c r="X111" s="5"/>
      <c r="Y111" s="6" t="s">
        <v>2224</v>
      </c>
    </row>
    <row r="112" spans="1:25" ht="20" customHeight="1" x14ac:dyDescent="0.2">
      <c r="A112" s="4" t="s">
        <v>86</v>
      </c>
      <c r="B112" s="5" t="s">
        <v>87</v>
      </c>
      <c r="C112" s="6" t="s">
        <v>144</v>
      </c>
      <c r="D112" s="6" t="s">
        <v>2225</v>
      </c>
      <c r="E112" s="6" t="s">
        <v>90</v>
      </c>
      <c r="F112" s="9" t="s">
        <v>1318</v>
      </c>
      <c r="G112" s="19" t="s">
        <v>2226</v>
      </c>
      <c r="H112" s="5" t="s">
        <v>2227</v>
      </c>
      <c r="I112" s="5" t="s">
        <v>141</v>
      </c>
      <c r="J112" s="5"/>
      <c r="K112" s="6" t="s">
        <v>145</v>
      </c>
      <c r="L112" s="5" t="s">
        <v>2228</v>
      </c>
      <c r="M112" s="5" t="s">
        <v>2229</v>
      </c>
      <c r="N112" s="5" t="s">
        <v>1407</v>
      </c>
      <c r="O112" s="5" t="s">
        <v>2230</v>
      </c>
      <c r="P112" s="5" t="s">
        <v>98</v>
      </c>
      <c r="Q112" s="5" t="s">
        <v>1459</v>
      </c>
      <c r="R112" s="5" t="s">
        <v>1459</v>
      </c>
      <c r="S112" s="8">
        <v>6</v>
      </c>
      <c r="T112" s="8">
        <v>6</v>
      </c>
      <c r="U112" s="8" t="s">
        <v>2231</v>
      </c>
      <c r="V112" s="5" t="s">
        <v>2232</v>
      </c>
      <c r="W112" s="5" t="s">
        <v>2233</v>
      </c>
      <c r="X112" s="5"/>
      <c r="Y112" s="6" t="s">
        <v>2234</v>
      </c>
    </row>
    <row r="113" spans="1:25" ht="20" customHeight="1" x14ac:dyDescent="0.2">
      <c r="A113" s="4" t="s">
        <v>86</v>
      </c>
      <c r="B113" s="5" t="s">
        <v>87</v>
      </c>
      <c r="C113" s="6" t="s">
        <v>2235</v>
      </c>
      <c r="D113" s="6" t="s">
        <v>2236</v>
      </c>
      <c r="E113" s="6" t="s">
        <v>90</v>
      </c>
      <c r="F113" s="9" t="s">
        <v>1318</v>
      </c>
      <c r="G113" s="19" t="s">
        <v>2237</v>
      </c>
      <c r="H113" s="5" t="s">
        <v>1407</v>
      </c>
      <c r="I113" s="5" t="s">
        <v>2238</v>
      </c>
      <c r="J113" s="5"/>
      <c r="K113" s="6" t="s">
        <v>1953</v>
      </c>
      <c r="L113" s="5" t="s">
        <v>2239</v>
      </c>
      <c r="M113" s="5" t="s">
        <v>124</v>
      </c>
      <c r="N113" s="5" t="s">
        <v>1407</v>
      </c>
      <c r="O113" s="5" t="s">
        <v>1953</v>
      </c>
      <c r="P113" s="5" t="s">
        <v>98</v>
      </c>
      <c r="Q113" s="5" t="s">
        <v>1459</v>
      </c>
      <c r="R113" s="5" t="s">
        <v>1459</v>
      </c>
      <c r="S113" s="8">
        <v>4</v>
      </c>
      <c r="T113" s="8">
        <v>5</v>
      </c>
      <c r="U113" s="8" t="s">
        <v>2240</v>
      </c>
      <c r="V113" s="5" t="s">
        <v>2241</v>
      </c>
      <c r="W113" s="5" t="s">
        <v>2242</v>
      </c>
      <c r="X113" s="5"/>
      <c r="Y113" s="6" t="s">
        <v>2243</v>
      </c>
    </row>
    <row r="114" spans="1:25" ht="20" customHeight="1" x14ac:dyDescent="0.2">
      <c r="A114" s="4" t="s">
        <v>86</v>
      </c>
      <c r="B114" s="5" t="s">
        <v>87</v>
      </c>
      <c r="C114" s="6" t="s">
        <v>123</v>
      </c>
      <c r="D114" s="6" t="s">
        <v>2244</v>
      </c>
      <c r="E114" s="6" t="s">
        <v>90</v>
      </c>
      <c r="F114" s="9" t="s">
        <v>1318</v>
      </c>
      <c r="G114" s="19" t="s">
        <v>2245</v>
      </c>
      <c r="H114" s="5" t="s">
        <v>1407</v>
      </c>
      <c r="I114" s="5" t="s">
        <v>117</v>
      </c>
      <c r="J114" s="5"/>
      <c r="K114" s="6" t="s">
        <v>124</v>
      </c>
      <c r="L114" s="5" t="s">
        <v>2246</v>
      </c>
      <c r="M114" s="5" t="s">
        <v>124</v>
      </c>
      <c r="N114" s="5" t="s">
        <v>1407</v>
      </c>
      <c r="O114" s="5" t="s">
        <v>124</v>
      </c>
      <c r="P114" s="5" t="s">
        <v>98</v>
      </c>
      <c r="Q114" s="5" t="s">
        <v>1459</v>
      </c>
      <c r="R114" s="5" t="s">
        <v>1459</v>
      </c>
      <c r="S114" s="8">
        <v>3</v>
      </c>
      <c r="T114" s="8">
        <v>3</v>
      </c>
      <c r="U114" s="8" t="s">
        <v>1407</v>
      </c>
      <c r="V114" s="5" t="s">
        <v>2247</v>
      </c>
      <c r="W114" s="5" t="s">
        <v>2248</v>
      </c>
      <c r="X114" s="5"/>
      <c r="Y114" s="6" t="s">
        <v>2249</v>
      </c>
    </row>
    <row r="115" spans="1:25" ht="20" customHeight="1" x14ac:dyDescent="0.2">
      <c r="A115" s="4" t="s">
        <v>86</v>
      </c>
      <c r="B115" s="5" t="s">
        <v>87</v>
      </c>
      <c r="C115" s="6" t="s">
        <v>131</v>
      </c>
      <c r="D115" s="6" t="s">
        <v>2250</v>
      </c>
      <c r="E115" s="6" t="s">
        <v>90</v>
      </c>
      <c r="F115" s="9" t="s">
        <v>1318</v>
      </c>
      <c r="G115" s="19" t="s">
        <v>2251</v>
      </c>
      <c r="H115" s="5" t="s">
        <v>1407</v>
      </c>
      <c r="I115" s="5" t="s">
        <v>128</v>
      </c>
      <c r="J115" s="5"/>
      <c r="K115" s="6" t="s">
        <v>124</v>
      </c>
      <c r="L115" s="5" t="s">
        <v>2252</v>
      </c>
      <c r="M115" s="5" t="s">
        <v>124</v>
      </c>
      <c r="N115" s="5" t="s">
        <v>1407</v>
      </c>
      <c r="O115" s="5" t="s">
        <v>124</v>
      </c>
      <c r="P115" s="5" t="s">
        <v>98</v>
      </c>
      <c r="Q115" s="5" t="s">
        <v>1459</v>
      </c>
      <c r="R115" s="5" t="s">
        <v>1459</v>
      </c>
      <c r="S115" s="8">
        <v>3</v>
      </c>
      <c r="T115" s="8">
        <v>3</v>
      </c>
      <c r="U115" s="8" t="s">
        <v>1407</v>
      </c>
      <c r="V115" s="5" t="s">
        <v>2247</v>
      </c>
      <c r="W115" s="5" t="s">
        <v>2253</v>
      </c>
      <c r="X115" s="5"/>
      <c r="Y115" s="6" t="s">
        <v>2254</v>
      </c>
    </row>
    <row r="116" spans="1:25" ht="20" customHeight="1" x14ac:dyDescent="0.2">
      <c r="A116" s="4" t="s">
        <v>86</v>
      </c>
      <c r="B116" s="5" t="s">
        <v>87</v>
      </c>
      <c r="C116" s="6" t="s">
        <v>520</v>
      </c>
      <c r="D116" s="6" t="s">
        <v>2255</v>
      </c>
      <c r="E116" s="6" t="s">
        <v>90</v>
      </c>
      <c r="F116" s="9" t="s">
        <v>1318</v>
      </c>
      <c r="G116" s="19" t="s">
        <v>2256</v>
      </c>
      <c r="H116" s="5" t="s">
        <v>1407</v>
      </c>
      <c r="I116" s="5" t="s">
        <v>2257</v>
      </c>
      <c r="J116" s="5"/>
      <c r="K116" s="6" t="s">
        <v>124</v>
      </c>
      <c r="L116" s="5" t="s">
        <v>2258</v>
      </c>
      <c r="M116" s="5" t="s">
        <v>124</v>
      </c>
      <c r="N116" s="5" t="s">
        <v>1407</v>
      </c>
      <c r="O116" s="5" t="s">
        <v>124</v>
      </c>
      <c r="P116" s="5" t="s">
        <v>98</v>
      </c>
      <c r="Q116" s="5" t="s">
        <v>1459</v>
      </c>
      <c r="R116" s="5" t="s">
        <v>1459</v>
      </c>
      <c r="S116" s="8">
        <v>3</v>
      </c>
      <c r="T116" s="8">
        <v>3</v>
      </c>
      <c r="U116" s="8" t="s">
        <v>1407</v>
      </c>
      <c r="V116" s="5" t="s">
        <v>2259</v>
      </c>
      <c r="W116" s="5" t="s">
        <v>2248</v>
      </c>
      <c r="X116" s="5"/>
      <c r="Y116" s="6" t="s">
        <v>2260</v>
      </c>
    </row>
    <row r="117" spans="1:25" ht="20" customHeight="1" x14ac:dyDescent="0.2">
      <c r="A117" s="4" t="s">
        <v>86</v>
      </c>
      <c r="B117" s="5" t="s">
        <v>87</v>
      </c>
      <c r="C117" s="6" t="s">
        <v>165</v>
      </c>
      <c r="D117" s="6" t="s">
        <v>2261</v>
      </c>
      <c r="E117" s="6" t="s">
        <v>90</v>
      </c>
      <c r="F117" s="9" t="s">
        <v>1318</v>
      </c>
      <c r="G117" s="19" t="s">
        <v>2262</v>
      </c>
      <c r="H117" s="5" t="s">
        <v>1407</v>
      </c>
      <c r="I117" s="5" t="s">
        <v>162</v>
      </c>
      <c r="J117" s="5"/>
      <c r="K117" s="6" t="s">
        <v>124</v>
      </c>
      <c r="L117" s="5" t="s">
        <v>2263</v>
      </c>
      <c r="M117" s="5" t="s">
        <v>124</v>
      </c>
      <c r="N117" s="5" t="s">
        <v>1407</v>
      </c>
      <c r="O117" s="5" t="s">
        <v>124</v>
      </c>
      <c r="P117" s="5" t="s">
        <v>98</v>
      </c>
      <c r="Q117" s="5" t="s">
        <v>1459</v>
      </c>
      <c r="R117" s="5" t="s">
        <v>1459</v>
      </c>
      <c r="S117" s="8">
        <v>3</v>
      </c>
      <c r="T117" s="8">
        <v>4</v>
      </c>
      <c r="U117" s="8" t="s">
        <v>1407</v>
      </c>
      <c r="V117" s="5" t="s">
        <v>2264</v>
      </c>
      <c r="W117" s="5" t="s">
        <v>2265</v>
      </c>
      <c r="X117" s="5"/>
      <c r="Y117" s="6" t="s">
        <v>2266</v>
      </c>
    </row>
    <row r="118" spans="1:25" ht="20" customHeight="1" x14ac:dyDescent="0.2">
      <c r="A118" s="4" t="s">
        <v>86</v>
      </c>
      <c r="B118" s="5" t="s">
        <v>87</v>
      </c>
      <c r="C118" s="6" t="s">
        <v>2267</v>
      </c>
      <c r="D118" s="6" t="s">
        <v>2268</v>
      </c>
      <c r="E118" s="6" t="s">
        <v>90</v>
      </c>
      <c r="F118" s="9" t="s">
        <v>1318</v>
      </c>
      <c r="G118" s="19" t="s">
        <v>2269</v>
      </c>
      <c r="H118" s="5" t="s">
        <v>1407</v>
      </c>
      <c r="I118" s="5" t="s">
        <v>2270</v>
      </c>
      <c r="J118" s="5"/>
      <c r="K118" s="6" t="s">
        <v>124</v>
      </c>
      <c r="L118" s="5" t="s">
        <v>2271</v>
      </c>
      <c r="M118" s="5" t="s">
        <v>124</v>
      </c>
      <c r="N118" s="5" t="s">
        <v>1407</v>
      </c>
      <c r="O118" s="5" t="s">
        <v>124</v>
      </c>
      <c r="P118" s="5" t="s">
        <v>98</v>
      </c>
      <c r="Q118" s="5" t="s">
        <v>1459</v>
      </c>
      <c r="R118" s="5" t="s">
        <v>1459</v>
      </c>
      <c r="S118" s="8">
        <v>3</v>
      </c>
      <c r="T118" s="8">
        <v>3</v>
      </c>
      <c r="U118" s="8" t="s">
        <v>1407</v>
      </c>
      <c r="V118" s="5" t="s">
        <v>2259</v>
      </c>
      <c r="W118" s="5" t="s">
        <v>2265</v>
      </c>
      <c r="X118" s="5"/>
      <c r="Y118" s="6" t="s">
        <v>2272</v>
      </c>
    </row>
    <row r="119" spans="1:25" ht="20" customHeight="1" x14ac:dyDescent="0.2">
      <c r="A119" s="4" t="s">
        <v>86</v>
      </c>
      <c r="B119" s="5" t="s">
        <v>87</v>
      </c>
      <c r="C119" s="6" t="s">
        <v>2273</v>
      </c>
      <c r="D119" s="6" t="s">
        <v>2274</v>
      </c>
      <c r="E119" s="6" t="s">
        <v>90</v>
      </c>
      <c r="F119" s="9" t="s">
        <v>1318</v>
      </c>
      <c r="G119" s="19" t="s">
        <v>2275</v>
      </c>
      <c r="H119" s="5" t="s">
        <v>1407</v>
      </c>
      <c r="I119" s="5" t="s">
        <v>2276</v>
      </c>
      <c r="J119" s="5"/>
      <c r="K119" s="6" t="s">
        <v>124</v>
      </c>
      <c r="L119" s="5" t="s">
        <v>2277</v>
      </c>
      <c r="M119" s="5" t="s">
        <v>124</v>
      </c>
      <c r="N119" s="5" t="s">
        <v>1407</v>
      </c>
      <c r="O119" s="5" t="s">
        <v>124</v>
      </c>
      <c r="P119" s="5" t="s">
        <v>98</v>
      </c>
      <c r="Q119" s="5" t="s">
        <v>1459</v>
      </c>
      <c r="R119" s="5" t="s">
        <v>1459</v>
      </c>
      <c r="S119" s="8">
        <v>3</v>
      </c>
      <c r="T119" s="8">
        <v>4</v>
      </c>
      <c r="U119" s="8" t="s">
        <v>1407</v>
      </c>
      <c r="V119" s="5" t="s">
        <v>2264</v>
      </c>
      <c r="W119" s="5" t="s">
        <v>2278</v>
      </c>
      <c r="X119" s="5"/>
      <c r="Y119" s="6" t="s">
        <v>2279</v>
      </c>
    </row>
    <row r="120" spans="1:25" ht="20" customHeight="1" x14ac:dyDescent="0.2">
      <c r="A120" s="4" t="s">
        <v>86</v>
      </c>
      <c r="B120" s="5" t="s">
        <v>87</v>
      </c>
      <c r="C120" s="6" t="s">
        <v>152</v>
      </c>
      <c r="D120" s="6" t="s">
        <v>2280</v>
      </c>
      <c r="E120" s="6" t="s">
        <v>90</v>
      </c>
      <c r="F120" s="9" t="s">
        <v>1318</v>
      </c>
      <c r="G120" s="19" t="s">
        <v>1878</v>
      </c>
      <c r="H120" s="5" t="s">
        <v>1407</v>
      </c>
      <c r="I120" s="5" t="s">
        <v>149</v>
      </c>
      <c r="J120" s="5"/>
      <c r="K120" s="6" t="s">
        <v>124</v>
      </c>
      <c r="L120" s="5" t="s">
        <v>2281</v>
      </c>
      <c r="M120" s="5" t="s">
        <v>124</v>
      </c>
      <c r="N120" s="5" t="s">
        <v>1407</v>
      </c>
      <c r="O120" s="5" t="s">
        <v>124</v>
      </c>
      <c r="P120" s="5" t="s">
        <v>98</v>
      </c>
      <c r="Q120" s="5" t="s">
        <v>1459</v>
      </c>
      <c r="R120" s="5" t="s">
        <v>1459</v>
      </c>
      <c r="S120" s="8">
        <v>3</v>
      </c>
      <c r="T120" s="8">
        <v>4</v>
      </c>
      <c r="U120" s="8" t="s">
        <v>1407</v>
      </c>
      <c r="V120" s="5" t="s">
        <v>2247</v>
      </c>
      <c r="W120" s="5" t="s">
        <v>2282</v>
      </c>
      <c r="X120" s="5"/>
      <c r="Y120" s="6" t="s">
        <v>2283</v>
      </c>
    </row>
    <row r="121" spans="1:25" ht="20" customHeight="1" x14ac:dyDescent="0.2">
      <c r="A121" s="4" t="s">
        <v>86</v>
      </c>
      <c r="B121" s="5" t="s">
        <v>87</v>
      </c>
      <c r="C121" s="6" t="s">
        <v>159</v>
      </c>
      <c r="D121" s="6" t="s">
        <v>2284</v>
      </c>
      <c r="E121" s="6" t="s">
        <v>90</v>
      </c>
      <c r="F121" s="9" t="s">
        <v>1318</v>
      </c>
      <c r="G121" s="19" t="s">
        <v>2285</v>
      </c>
      <c r="H121" s="5" t="s">
        <v>1407</v>
      </c>
      <c r="I121" s="5" t="s">
        <v>156</v>
      </c>
      <c r="J121" s="5"/>
      <c r="K121" s="6" t="s">
        <v>124</v>
      </c>
      <c r="L121" s="5" t="s">
        <v>2286</v>
      </c>
      <c r="M121" s="5" t="s">
        <v>124</v>
      </c>
      <c r="N121" s="5" t="s">
        <v>1407</v>
      </c>
      <c r="O121" s="5" t="s">
        <v>124</v>
      </c>
      <c r="P121" s="5" t="s">
        <v>98</v>
      </c>
      <c r="Q121" s="5" t="s">
        <v>1459</v>
      </c>
      <c r="R121" s="5" t="s">
        <v>1459</v>
      </c>
      <c r="S121" s="8">
        <v>3</v>
      </c>
      <c r="T121" s="8">
        <v>3</v>
      </c>
      <c r="U121" s="8" t="s">
        <v>2287</v>
      </c>
      <c r="V121" s="5" t="s">
        <v>2288</v>
      </c>
      <c r="W121" s="5" t="s">
        <v>2289</v>
      </c>
      <c r="X121" s="5"/>
      <c r="Y121" s="6" t="s">
        <v>2290</v>
      </c>
    </row>
  </sheetData>
  <mergeCells count="7">
    <mergeCell ref="W1:Y1"/>
    <mergeCell ref="C1:G1"/>
    <mergeCell ref="H1:I1"/>
    <mergeCell ref="A1:B1"/>
    <mergeCell ref="K1:N1"/>
    <mergeCell ref="O1:R1"/>
    <mergeCell ref="S1:V1"/>
  </mergeCells>
  <dataValidations count="4">
    <dataValidation type="list" sqref="A3:A121" xr:uid="{00000000-0002-0000-0400-000000000000}">
      <formula1>"STUB,PARTIAL,COMPLETE"</formula1>
    </dataValidation>
    <dataValidation type="list" sqref="F3:F121" xr:uid="{00000000-0002-0000-0400-000001000000}">
      <formula1>"great,noble,minor,knightly"</formula1>
    </dataValidation>
    <dataValidation type="list" sqref="G3:G121" xr:uid="{00000000-0002-0000-0400-000002000000}">
      <formula1>"active,extinct,exiled,deposed,unknown"</formula1>
    </dataValidation>
    <dataValidation type="whole" allowBlank="1" sqref="S3:U121" xr:uid="{00000000-0002-0000-0400-000003000000}">
      <formula1>1</formula1>
      <formula2>10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14"/>
  <sheetViews>
    <sheetView showGridLines="0" workbookViewId="0"/>
  </sheetViews>
  <sheetFormatPr baseColWidth="10" defaultColWidth="8.83203125" defaultRowHeight="15" x14ac:dyDescent="0.2"/>
  <cols>
    <col min="1" max="1" width="2" customWidth="1"/>
    <col min="2" max="2" width="22" customWidth="1"/>
    <col min="3" max="6" width="12" customWidth="1"/>
  </cols>
  <sheetData>
    <row r="2" spans="2:6" ht="28" customHeight="1" x14ac:dyDescent="0.2">
      <c r="B2" s="42" t="s">
        <v>2291</v>
      </c>
      <c r="C2" s="33"/>
      <c r="D2" s="33"/>
      <c r="E2" s="33"/>
      <c r="F2" s="33"/>
    </row>
    <row r="4" spans="2:6" ht="20" customHeight="1" x14ac:dyDescent="0.2">
      <c r="B4" s="11" t="s">
        <v>1256</v>
      </c>
      <c r="C4" s="11" t="s">
        <v>1257</v>
      </c>
      <c r="D4" s="11" t="s">
        <v>1258</v>
      </c>
      <c r="E4" s="11" t="s">
        <v>1259</v>
      </c>
      <c r="F4" s="11" t="s">
        <v>1260</v>
      </c>
    </row>
    <row r="5" spans="2:6" ht="20" customHeight="1" x14ac:dyDescent="0.2">
      <c r="B5" s="12" t="s">
        <v>202</v>
      </c>
      <c r="C5" s="13">
        <v>17</v>
      </c>
      <c r="D5" s="14">
        <f>COUNTIFS('🏠 House Data'!$E$3:$E$1000,B5,'🏠 House Data'!$A$3:$A$1000,"COMPLETE")</f>
        <v>0</v>
      </c>
      <c r="E5" s="15">
        <f>COUNTIFS('🏠 House Data'!$E$3:$E$1000,B5,'🏠 House Data'!$A$3:$A$1000,"PARTIAL")</f>
        <v>17</v>
      </c>
      <c r="F5" s="16">
        <f>COUNTIFS('🏠 House Data'!$E$3:$E$1000,B5,'🏠 House Data'!$A$3:$A$1000,"STUB")</f>
        <v>0</v>
      </c>
    </row>
    <row r="6" spans="2:6" ht="20" customHeight="1" x14ac:dyDescent="0.2">
      <c r="B6" s="12" t="s">
        <v>382</v>
      </c>
      <c r="C6" s="13">
        <v>14</v>
      </c>
      <c r="D6" s="14">
        <f>COUNTIFS('🏠 House Data'!$E$3:$E$1000,B6,'🏠 House Data'!$A$3:$A$1000,"COMPLETE")</f>
        <v>0</v>
      </c>
      <c r="E6" s="15">
        <f>COUNTIFS('🏠 House Data'!$E$3:$E$1000,B6,'🏠 House Data'!$A$3:$A$1000,"PARTIAL")</f>
        <v>14</v>
      </c>
      <c r="F6" s="16">
        <f>COUNTIFS('🏠 House Data'!$E$3:$E$1000,B6,'🏠 House Data'!$A$3:$A$1000,"STUB")</f>
        <v>0</v>
      </c>
    </row>
    <row r="7" spans="2:6" ht="20" customHeight="1" x14ac:dyDescent="0.2">
      <c r="B7" s="12" t="s">
        <v>533</v>
      </c>
      <c r="C7" s="13">
        <v>13</v>
      </c>
      <c r="D7" s="14">
        <f>COUNTIFS('🏠 House Data'!$E$3:$E$1000,B7,'🏠 House Data'!$A$3:$A$1000,"COMPLETE")</f>
        <v>0</v>
      </c>
      <c r="E7" s="15">
        <f>COUNTIFS('🏠 House Data'!$E$3:$E$1000,B7,'🏠 House Data'!$A$3:$A$1000,"PARTIAL")</f>
        <v>13</v>
      </c>
      <c r="F7" s="16">
        <f>COUNTIFS('🏠 House Data'!$E$3:$E$1000,B7,'🏠 House Data'!$A$3:$A$1000,"STUB")</f>
        <v>0</v>
      </c>
    </row>
    <row r="8" spans="2:6" ht="20" customHeight="1" x14ac:dyDescent="0.2">
      <c r="B8" s="12" t="s">
        <v>631</v>
      </c>
      <c r="C8" s="13">
        <v>15</v>
      </c>
      <c r="D8" s="14">
        <f>COUNTIFS('🏠 House Data'!$E$3:$E$1000,B8,'🏠 House Data'!$A$3:$A$1000,"COMPLETE")</f>
        <v>0</v>
      </c>
      <c r="E8" s="15">
        <f>COUNTIFS('🏠 House Data'!$E$3:$E$1000,B8,'🏠 House Data'!$A$3:$A$1000,"PARTIAL")</f>
        <v>15</v>
      </c>
      <c r="F8" s="16">
        <f>COUNTIFS('🏠 House Data'!$E$3:$E$1000,B8,'🏠 House Data'!$A$3:$A$1000,"STUB")</f>
        <v>0</v>
      </c>
    </row>
    <row r="9" spans="2:6" ht="20" customHeight="1" x14ac:dyDescent="0.2">
      <c r="B9" s="12" t="s">
        <v>829</v>
      </c>
      <c r="C9" s="13">
        <v>12</v>
      </c>
      <c r="D9" s="14">
        <f>COUNTIFS('🏠 House Data'!$E$3:$E$1000,B9,'🏠 House Data'!$A$3:$A$1000,"COMPLETE")</f>
        <v>0</v>
      </c>
      <c r="E9" s="15">
        <f>COUNTIFS('🏠 House Data'!$E$3:$E$1000,B9,'🏠 House Data'!$A$3:$A$1000,"PARTIAL")</f>
        <v>12</v>
      </c>
      <c r="F9" s="16">
        <f>COUNTIFS('🏠 House Data'!$E$3:$E$1000,B9,'🏠 House Data'!$A$3:$A$1000,"STUB")</f>
        <v>0</v>
      </c>
    </row>
    <row r="10" spans="2:6" ht="20" customHeight="1" x14ac:dyDescent="0.2">
      <c r="B10" s="12" t="s">
        <v>929</v>
      </c>
      <c r="C10" s="13">
        <v>14</v>
      </c>
      <c r="D10" s="14">
        <f>COUNTIFS('🏠 House Data'!$E$3:$E$1000,B10,'🏠 House Data'!$A$3:$A$1000,"COMPLETE")</f>
        <v>0</v>
      </c>
      <c r="E10" s="15">
        <f>COUNTIFS('🏠 House Data'!$E$3:$E$1000,B10,'🏠 House Data'!$A$3:$A$1000,"PARTIAL")</f>
        <v>14</v>
      </c>
      <c r="F10" s="16">
        <f>COUNTIFS('🏠 House Data'!$E$3:$E$1000,B10,'🏠 House Data'!$A$3:$A$1000,"STUB")</f>
        <v>0</v>
      </c>
    </row>
    <row r="11" spans="2:6" ht="20" customHeight="1" x14ac:dyDescent="0.2">
      <c r="B11" s="12" t="s">
        <v>1063</v>
      </c>
      <c r="C11" s="13">
        <v>11</v>
      </c>
      <c r="D11" s="14">
        <f>COUNTIFS('🏠 House Data'!$E$3:$E$1000,B11,'🏠 House Data'!$A$3:$A$1000,"COMPLETE")</f>
        <v>0</v>
      </c>
      <c r="E11" s="15">
        <f>COUNTIFS('🏠 House Data'!$E$3:$E$1000,B11,'🏠 House Data'!$A$3:$A$1000,"PARTIAL")</f>
        <v>11</v>
      </c>
      <c r="F11" s="16">
        <f>COUNTIFS('🏠 House Data'!$E$3:$E$1000,B11,'🏠 House Data'!$A$3:$A$1000,"STUB")</f>
        <v>0</v>
      </c>
    </row>
    <row r="12" spans="2:6" ht="20" customHeight="1" x14ac:dyDescent="0.2">
      <c r="B12" s="12" t="s">
        <v>1146</v>
      </c>
      <c r="C12" s="13">
        <v>11</v>
      </c>
      <c r="D12" s="14">
        <f>COUNTIFS('🏠 House Data'!$E$3:$E$1000,B12,'🏠 House Data'!$A$3:$A$1000,"COMPLETE")</f>
        <v>0</v>
      </c>
      <c r="E12" s="15">
        <f>COUNTIFS('🏠 House Data'!$E$3:$E$1000,B12,'🏠 House Data'!$A$3:$A$1000,"PARTIAL")</f>
        <v>11</v>
      </c>
      <c r="F12" s="16">
        <f>COUNTIFS('🏠 House Data'!$E$3:$E$1000,B12,'🏠 House Data'!$A$3:$A$1000,"STUB")</f>
        <v>0</v>
      </c>
    </row>
    <row r="13" spans="2:6" ht="20" customHeight="1" x14ac:dyDescent="0.2">
      <c r="B13" s="12" t="s">
        <v>90</v>
      </c>
      <c r="C13" s="13">
        <v>12</v>
      </c>
      <c r="D13" s="14">
        <f>COUNTIFS('🏠 House Data'!$E$3:$E$1000,B13,'🏠 House Data'!$A$3:$A$1000,"COMPLETE")</f>
        <v>0</v>
      </c>
      <c r="E13" s="15">
        <f>COUNTIFS('🏠 House Data'!$E$3:$E$1000,B13,'🏠 House Data'!$A$3:$A$1000,"PARTIAL")</f>
        <v>12</v>
      </c>
      <c r="F13" s="16">
        <f>COUNTIFS('🏠 House Data'!$E$3:$E$1000,B13,'🏠 House Data'!$A$3:$A$1000,"STUB")</f>
        <v>0</v>
      </c>
    </row>
    <row r="14" spans="2:6" ht="22" customHeight="1" x14ac:dyDescent="0.2">
      <c r="B14" s="17" t="s">
        <v>1261</v>
      </c>
      <c r="C14" s="11">
        <f>SUM(C5:C13)</f>
        <v>119</v>
      </c>
      <c r="D14" s="11">
        <f>SUM(D5:D13)</f>
        <v>0</v>
      </c>
      <c r="E14" s="11">
        <f>SUM(E5:E13)</f>
        <v>119</v>
      </c>
      <c r="F14" s="11">
        <f>SUM(F5:F13)</f>
        <v>0</v>
      </c>
    </row>
  </sheetData>
  <mergeCells count="1">
    <mergeCell ref="B2:F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72"/>
  <sheetViews>
    <sheetView showGridLines="0" workbookViewId="0"/>
  </sheetViews>
  <sheetFormatPr baseColWidth="10" defaultColWidth="8.83203125" defaultRowHeight="15" x14ac:dyDescent="0.2"/>
  <cols>
    <col min="1" max="1" width="2" customWidth="1"/>
    <col min="2" max="2" width="28" customWidth="1"/>
    <col min="3" max="3" width="60" customWidth="1"/>
  </cols>
  <sheetData>
    <row r="2" spans="2:3" ht="32" customHeight="1" x14ac:dyDescent="0.2">
      <c r="B2" s="34" t="s">
        <v>2292</v>
      </c>
      <c r="C2" s="33"/>
    </row>
    <row r="3" spans="2:3" ht="22" customHeight="1" x14ac:dyDescent="0.2">
      <c r="B3" s="44" t="s">
        <v>2293</v>
      </c>
      <c r="C3" s="33"/>
    </row>
    <row r="6" spans="2:3" ht="20" customHeight="1" x14ac:dyDescent="0.2">
      <c r="B6" s="32" t="s">
        <v>2294</v>
      </c>
      <c r="C6" s="33"/>
    </row>
    <row r="7" spans="2:3" ht="26" customHeight="1" x14ac:dyDescent="0.2">
      <c r="B7" s="1" t="s">
        <v>3</v>
      </c>
      <c r="C7" s="2" t="s">
        <v>2295</v>
      </c>
    </row>
    <row r="8" spans="2:3" ht="26" customHeight="1" x14ac:dyDescent="0.2">
      <c r="B8" s="1" t="s">
        <v>5</v>
      </c>
      <c r="C8" s="2" t="s">
        <v>2296</v>
      </c>
    </row>
    <row r="9" spans="2:3" ht="26" customHeight="1" x14ac:dyDescent="0.2">
      <c r="B9" s="1" t="s">
        <v>7</v>
      </c>
      <c r="C9" s="2" t="s">
        <v>2297</v>
      </c>
    </row>
    <row r="10" spans="2:3" ht="26" customHeight="1" x14ac:dyDescent="0.2">
      <c r="B10" s="1" t="s">
        <v>9</v>
      </c>
      <c r="C10" s="2" t="s">
        <v>2298</v>
      </c>
    </row>
    <row r="12" spans="2:3" ht="20" customHeight="1" x14ac:dyDescent="0.2">
      <c r="B12" s="32" t="s">
        <v>2299</v>
      </c>
      <c r="C12" s="33"/>
    </row>
    <row r="13" spans="2:3" ht="26" customHeight="1" x14ac:dyDescent="0.2">
      <c r="B13" s="1" t="s">
        <v>2300</v>
      </c>
      <c r="C13" s="2" t="s">
        <v>2301</v>
      </c>
    </row>
    <row r="14" spans="2:3" ht="26" customHeight="1" x14ac:dyDescent="0.2">
      <c r="B14" s="1" t="s">
        <v>2302</v>
      </c>
      <c r="C14" s="2" t="s">
        <v>2303</v>
      </c>
    </row>
    <row r="15" spans="2:3" ht="26" customHeight="1" x14ac:dyDescent="0.2">
      <c r="B15" s="1" t="s">
        <v>2304</v>
      </c>
      <c r="C15" s="2" t="s">
        <v>2305</v>
      </c>
    </row>
    <row r="16" spans="2:3" ht="26" customHeight="1" x14ac:dyDescent="0.2">
      <c r="B16" s="1" t="s">
        <v>2306</v>
      </c>
      <c r="C16" s="2" t="s">
        <v>2307</v>
      </c>
    </row>
    <row r="17" spans="2:3" ht="26" customHeight="1" x14ac:dyDescent="0.2">
      <c r="B17" s="1" t="s">
        <v>2308</v>
      </c>
      <c r="C17" s="2" t="s">
        <v>2309</v>
      </c>
    </row>
    <row r="18" spans="2:3" ht="26" customHeight="1" x14ac:dyDescent="0.2">
      <c r="B18" s="1" t="s">
        <v>2310</v>
      </c>
      <c r="C18" s="2" t="s">
        <v>2311</v>
      </c>
    </row>
    <row r="19" spans="2:3" ht="26" customHeight="1" x14ac:dyDescent="0.2">
      <c r="B19" s="1" t="s">
        <v>2312</v>
      </c>
      <c r="C19" s="2" t="s">
        <v>2313</v>
      </c>
    </row>
    <row r="21" spans="2:3" ht="20" customHeight="1" x14ac:dyDescent="0.2">
      <c r="B21" s="32" t="s">
        <v>15</v>
      </c>
      <c r="C21" s="33"/>
    </row>
    <row r="22" spans="2:3" ht="26" customHeight="1" x14ac:dyDescent="0.2">
      <c r="B22" s="1" t="s">
        <v>21</v>
      </c>
      <c r="C22" s="2" t="s">
        <v>1276</v>
      </c>
    </row>
    <row r="23" spans="2:3" ht="26" customHeight="1" x14ac:dyDescent="0.2">
      <c r="B23" s="1" t="s">
        <v>2314</v>
      </c>
      <c r="C23" s="2" t="s">
        <v>2315</v>
      </c>
    </row>
    <row r="24" spans="2:3" ht="26" customHeight="1" x14ac:dyDescent="0.2">
      <c r="B24" s="1" t="s">
        <v>2316</v>
      </c>
      <c r="C24" s="2" t="s">
        <v>2317</v>
      </c>
    </row>
    <row r="25" spans="2:3" ht="26" customHeight="1" x14ac:dyDescent="0.2">
      <c r="B25" s="1" t="s">
        <v>2318</v>
      </c>
      <c r="C25" s="2" t="s">
        <v>2319</v>
      </c>
    </row>
    <row r="26" spans="2:3" ht="26" customHeight="1" x14ac:dyDescent="0.2">
      <c r="B26" s="1" t="s">
        <v>2320</v>
      </c>
      <c r="C26" s="2" t="s">
        <v>2321</v>
      </c>
    </row>
    <row r="27" spans="2:3" ht="26" customHeight="1" x14ac:dyDescent="0.2">
      <c r="B27" s="1" t="s">
        <v>2322</v>
      </c>
      <c r="C27" s="2" t="s">
        <v>2323</v>
      </c>
    </row>
    <row r="28" spans="2:3" ht="26" customHeight="1" x14ac:dyDescent="0.2">
      <c r="B28" s="1" t="s">
        <v>2324</v>
      </c>
      <c r="C28" s="2" t="s">
        <v>2325</v>
      </c>
    </row>
    <row r="29" spans="2:3" ht="26" customHeight="1" x14ac:dyDescent="0.2">
      <c r="B29" s="1" t="s">
        <v>2326</v>
      </c>
      <c r="C29" s="2" t="s">
        <v>2327</v>
      </c>
    </row>
    <row r="30" spans="2:3" ht="26" customHeight="1" x14ac:dyDescent="0.2">
      <c r="B30" s="1" t="s">
        <v>2328</v>
      </c>
      <c r="C30" s="2" t="s">
        <v>2329</v>
      </c>
    </row>
    <row r="31" spans="2:3" ht="26" customHeight="1" x14ac:dyDescent="0.2">
      <c r="B31" s="1" t="s">
        <v>2330</v>
      </c>
      <c r="C31" s="2" t="s">
        <v>2331</v>
      </c>
    </row>
    <row r="32" spans="2:3" ht="26" customHeight="1" x14ac:dyDescent="0.2">
      <c r="B32" s="1" t="s">
        <v>2332</v>
      </c>
      <c r="C32" s="2" t="s">
        <v>2333</v>
      </c>
    </row>
    <row r="33" spans="2:3" ht="26" customHeight="1" x14ac:dyDescent="0.2">
      <c r="B33" s="1" t="s">
        <v>2334</v>
      </c>
      <c r="C33" s="2" t="s">
        <v>2335</v>
      </c>
    </row>
    <row r="34" spans="2:3" ht="26" customHeight="1" x14ac:dyDescent="0.2">
      <c r="B34" s="1" t="s">
        <v>2336</v>
      </c>
      <c r="C34" s="2" t="s">
        <v>2337</v>
      </c>
    </row>
    <row r="35" spans="2:3" ht="26" customHeight="1" x14ac:dyDescent="0.2">
      <c r="B35" s="1" t="s">
        <v>2338</v>
      </c>
      <c r="C35" s="2" t="s">
        <v>2339</v>
      </c>
    </row>
    <row r="36" spans="2:3" ht="26" customHeight="1" x14ac:dyDescent="0.2">
      <c r="B36" s="1" t="s">
        <v>2340</v>
      </c>
      <c r="C36" s="2" t="s">
        <v>2341</v>
      </c>
    </row>
    <row r="37" spans="2:3" ht="26" customHeight="1" x14ac:dyDescent="0.2">
      <c r="B37" s="1" t="s">
        <v>2342</v>
      </c>
      <c r="C37" s="2" t="s">
        <v>2343</v>
      </c>
    </row>
    <row r="38" spans="2:3" ht="26" customHeight="1" x14ac:dyDescent="0.2">
      <c r="B38" s="1" t="s">
        <v>2344</v>
      </c>
      <c r="C38" s="2" t="s">
        <v>2345</v>
      </c>
    </row>
    <row r="39" spans="2:3" ht="26" customHeight="1" x14ac:dyDescent="0.2">
      <c r="B39" s="1" t="s">
        <v>2346</v>
      </c>
      <c r="C39" s="2" t="s">
        <v>2347</v>
      </c>
    </row>
    <row r="40" spans="2:3" ht="26" customHeight="1" x14ac:dyDescent="0.2">
      <c r="B40" s="1" t="s">
        <v>2348</v>
      </c>
      <c r="C40" s="2" t="s">
        <v>2349</v>
      </c>
    </row>
    <row r="41" spans="2:3" ht="26" customHeight="1" x14ac:dyDescent="0.2">
      <c r="B41" s="1" t="s">
        <v>2350</v>
      </c>
      <c r="C41" s="2" t="s">
        <v>2351</v>
      </c>
    </row>
    <row r="42" spans="2:3" ht="26" customHeight="1" x14ac:dyDescent="0.2">
      <c r="B42" s="1" t="s">
        <v>2352</v>
      </c>
      <c r="C42" s="2" t="s">
        <v>2353</v>
      </c>
    </row>
    <row r="43" spans="2:3" ht="26" customHeight="1" x14ac:dyDescent="0.2">
      <c r="B43" s="1" t="s">
        <v>2354</v>
      </c>
      <c r="C43" s="2" t="s">
        <v>2355</v>
      </c>
    </row>
    <row r="44" spans="2:3" ht="26" customHeight="1" x14ac:dyDescent="0.2">
      <c r="B44" s="1" t="s">
        <v>2356</v>
      </c>
      <c r="C44" s="2" t="s">
        <v>2357</v>
      </c>
    </row>
    <row r="45" spans="2:3" ht="26" customHeight="1" x14ac:dyDescent="0.2">
      <c r="B45" s="1" t="s">
        <v>2358</v>
      </c>
      <c r="C45" s="2" t="s">
        <v>2359</v>
      </c>
    </row>
    <row r="46" spans="2:3" ht="26" customHeight="1" x14ac:dyDescent="0.2">
      <c r="B46" s="1" t="s">
        <v>2360</v>
      </c>
      <c r="C46" s="2" t="s">
        <v>2361</v>
      </c>
    </row>
    <row r="47" spans="2:3" ht="26" customHeight="1" x14ac:dyDescent="0.2">
      <c r="B47" s="1" t="s">
        <v>2362</v>
      </c>
      <c r="C47" s="2" t="s">
        <v>2363</v>
      </c>
    </row>
    <row r="48" spans="2:3" ht="26" customHeight="1" x14ac:dyDescent="0.2">
      <c r="B48" s="1" t="s">
        <v>2364</v>
      </c>
      <c r="C48" s="2" t="s">
        <v>2365</v>
      </c>
    </row>
    <row r="49" spans="2:3" ht="26" customHeight="1" x14ac:dyDescent="0.2">
      <c r="B49" s="1" t="s">
        <v>2366</v>
      </c>
      <c r="C49" s="2" t="s">
        <v>2367</v>
      </c>
    </row>
    <row r="50" spans="2:3" ht="26" customHeight="1" x14ac:dyDescent="0.2">
      <c r="B50" s="1" t="s">
        <v>2368</v>
      </c>
      <c r="C50" s="2" t="s">
        <v>2369</v>
      </c>
    </row>
    <row r="51" spans="2:3" ht="26" customHeight="1" x14ac:dyDescent="0.2">
      <c r="B51" s="1" t="s">
        <v>2370</v>
      </c>
      <c r="C51" s="2" t="s">
        <v>2371</v>
      </c>
    </row>
    <row r="52" spans="2:3" ht="26" customHeight="1" x14ac:dyDescent="0.2">
      <c r="B52" s="1" t="s">
        <v>2372</v>
      </c>
      <c r="C52" s="2" t="s">
        <v>2373</v>
      </c>
    </row>
    <row r="53" spans="2:3" ht="26" customHeight="1" x14ac:dyDescent="0.2">
      <c r="B53" s="1" t="s">
        <v>2374</v>
      </c>
      <c r="C53" s="2" t="s">
        <v>2375</v>
      </c>
    </row>
    <row r="54" spans="2:3" ht="26" customHeight="1" x14ac:dyDescent="0.2">
      <c r="B54" s="1" t="s">
        <v>1311</v>
      </c>
      <c r="C54" s="2" t="s">
        <v>2376</v>
      </c>
    </row>
    <row r="55" spans="2:3" ht="26" customHeight="1" x14ac:dyDescent="0.2">
      <c r="B55" s="1" t="s">
        <v>1313</v>
      </c>
      <c r="C55" s="2" t="s">
        <v>2377</v>
      </c>
    </row>
    <row r="56" spans="2:3" ht="26" customHeight="1" x14ac:dyDescent="0.2">
      <c r="B56" s="1" t="s">
        <v>55</v>
      </c>
      <c r="C56" s="2" t="s">
        <v>2378</v>
      </c>
    </row>
    <row r="58" spans="2:3" ht="20" customHeight="1" x14ac:dyDescent="0.2">
      <c r="B58" s="32" t="s">
        <v>2379</v>
      </c>
      <c r="C58" s="33"/>
    </row>
    <row r="59" spans="2:3" ht="26" customHeight="1" x14ac:dyDescent="0.2">
      <c r="B59" s="1" t="s">
        <v>2380</v>
      </c>
      <c r="C59" s="2" t="s">
        <v>2381</v>
      </c>
    </row>
    <row r="60" spans="2:3" ht="26" customHeight="1" x14ac:dyDescent="0.2">
      <c r="B60" s="1" t="s">
        <v>2382</v>
      </c>
      <c r="C60" s="2" t="s">
        <v>2383</v>
      </c>
    </row>
    <row r="61" spans="2:3" ht="26" customHeight="1" x14ac:dyDescent="0.2">
      <c r="B61" s="1" t="s">
        <v>2384</v>
      </c>
      <c r="C61" s="2" t="s">
        <v>2385</v>
      </c>
    </row>
    <row r="63" spans="2:3" ht="20" customHeight="1" x14ac:dyDescent="0.2">
      <c r="B63" s="32" t="s">
        <v>2386</v>
      </c>
      <c r="C63" s="33"/>
    </row>
    <row r="64" spans="2:3" ht="26" customHeight="1" x14ac:dyDescent="0.2">
      <c r="B64" s="1" t="s">
        <v>202</v>
      </c>
      <c r="C64" s="2" t="s">
        <v>2387</v>
      </c>
    </row>
    <row r="65" spans="2:3" ht="26" customHeight="1" x14ac:dyDescent="0.2">
      <c r="B65" s="1" t="s">
        <v>382</v>
      </c>
      <c r="C65" s="2" t="s">
        <v>2388</v>
      </c>
    </row>
    <row r="66" spans="2:3" ht="26" customHeight="1" x14ac:dyDescent="0.2">
      <c r="B66" s="1" t="s">
        <v>533</v>
      </c>
      <c r="C66" s="2" t="s">
        <v>2389</v>
      </c>
    </row>
    <row r="67" spans="2:3" ht="26" customHeight="1" x14ac:dyDescent="0.2">
      <c r="B67" s="1" t="s">
        <v>631</v>
      </c>
      <c r="C67" s="2" t="s">
        <v>2390</v>
      </c>
    </row>
    <row r="68" spans="2:3" ht="26" customHeight="1" x14ac:dyDescent="0.2">
      <c r="B68" s="1" t="s">
        <v>829</v>
      </c>
      <c r="C68" s="2" t="s">
        <v>2391</v>
      </c>
    </row>
    <row r="69" spans="2:3" ht="26" customHeight="1" x14ac:dyDescent="0.2">
      <c r="B69" s="1" t="s">
        <v>929</v>
      </c>
      <c r="C69" s="2" t="s">
        <v>2392</v>
      </c>
    </row>
    <row r="70" spans="2:3" ht="26" customHeight="1" x14ac:dyDescent="0.2">
      <c r="B70" s="1" t="s">
        <v>1063</v>
      </c>
      <c r="C70" s="2" t="s">
        <v>2393</v>
      </c>
    </row>
    <row r="71" spans="2:3" ht="26" customHeight="1" x14ac:dyDescent="0.2">
      <c r="B71" s="1" t="s">
        <v>1146</v>
      </c>
      <c r="C71" s="2" t="s">
        <v>1145</v>
      </c>
    </row>
    <row r="72" spans="2:3" ht="26" customHeight="1" x14ac:dyDescent="0.2">
      <c r="B72" s="1" t="s">
        <v>90</v>
      </c>
      <c r="C72" s="2" t="s">
        <v>2394</v>
      </c>
    </row>
  </sheetData>
  <mergeCells count="7">
    <mergeCell ref="B63:C63"/>
    <mergeCell ref="B12:C12"/>
    <mergeCell ref="B6:C6"/>
    <mergeCell ref="B21:C21"/>
    <mergeCell ref="B2:C2"/>
    <mergeCell ref="B3:C3"/>
    <mergeCell ref="B58:C5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1"/>
  <sheetViews>
    <sheetView showGridLines="0" workbookViewId="0">
      <pane xSplit="3" ySplit="2" topLeftCell="D3" activePane="bottomRight" state="frozen"/>
      <selection pane="topRight"/>
      <selection pane="bottomLeft"/>
      <selection pane="bottomRight"/>
    </sheetView>
  </sheetViews>
  <sheetFormatPr baseColWidth="10" defaultColWidth="8.83203125" defaultRowHeight="15" x14ac:dyDescent="0.2"/>
  <cols>
    <col min="1" max="1" width="12" customWidth="1"/>
    <col min="2" max="2" width="14" customWidth="1"/>
    <col min="3" max="3" width="18" customWidth="1"/>
    <col min="4" max="4" width="20" customWidth="1"/>
    <col min="5" max="5" width="28" customWidth="1"/>
    <col min="6" max="6" width="26" customWidth="1"/>
    <col min="7" max="7" width="20" customWidth="1"/>
    <col min="8" max="8" width="30" customWidth="1"/>
    <col min="9" max="9" width="16" customWidth="1"/>
    <col min="10" max="11" width="20" customWidth="1"/>
    <col min="12" max="13" width="16" customWidth="1"/>
    <col min="14" max="14" width="14" customWidth="1"/>
    <col min="15" max="15" width="36" customWidth="1"/>
    <col min="16" max="16" width="14" customWidth="1"/>
    <col min="17" max="17" width="30" customWidth="1"/>
    <col min="18" max="18" width="28" customWidth="1"/>
    <col min="19" max="19" width="32" customWidth="1"/>
    <col min="20" max="20" width="24" customWidth="1"/>
    <col min="21" max="22" width="30" customWidth="1"/>
    <col min="23" max="23" width="24" customWidth="1"/>
    <col min="24" max="24" width="36" customWidth="1"/>
    <col min="25" max="25" width="24" customWidth="1"/>
    <col min="26" max="26" width="22" customWidth="1"/>
    <col min="27" max="27" width="14" customWidth="1"/>
    <col min="28" max="28" width="36" customWidth="1"/>
    <col min="29" max="29" width="30" customWidth="1"/>
    <col min="30" max="30" width="48" customWidth="1"/>
    <col min="31" max="31" width="16" customWidth="1"/>
    <col min="32" max="32" width="28" customWidth="1"/>
    <col min="33" max="33" width="40" customWidth="1"/>
    <col min="34" max="35" width="50" customWidth="1"/>
    <col min="36" max="36" width="48" customWidth="1"/>
  </cols>
  <sheetData>
    <row r="1" spans="1:36" ht="18" customHeight="1" x14ac:dyDescent="0.2">
      <c r="A1" s="39" t="s">
        <v>75</v>
      </c>
      <c r="B1" s="33"/>
      <c r="C1" s="33"/>
      <c r="D1" s="33"/>
      <c r="E1" s="40" t="s">
        <v>2395</v>
      </c>
      <c r="F1" s="33"/>
      <c r="G1" s="33"/>
      <c r="H1" s="33"/>
      <c r="I1" s="33"/>
      <c r="J1" s="47" t="s">
        <v>2396</v>
      </c>
      <c r="K1" s="33"/>
      <c r="L1" s="46" t="s">
        <v>2397</v>
      </c>
      <c r="M1" s="33"/>
      <c r="N1" s="33"/>
      <c r="O1" s="33"/>
      <c r="P1" s="33"/>
      <c r="Q1" s="33"/>
      <c r="R1" s="33"/>
      <c r="S1" s="33"/>
      <c r="T1" s="33"/>
      <c r="U1" s="45" t="s">
        <v>2398</v>
      </c>
      <c r="V1" s="33"/>
      <c r="W1" s="33"/>
      <c r="X1" s="33"/>
      <c r="Y1" s="48" t="s">
        <v>2399</v>
      </c>
      <c r="Z1" s="33"/>
      <c r="AA1" s="33"/>
      <c r="AB1" s="33"/>
      <c r="AC1" s="43" t="s">
        <v>2400</v>
      </c>
      <c r="AD1" s="33"/>
      <c r="AE1" s="33"/>
      <c r="AF1" s="33"/>
      <c r="AG1" s="33"/>
      <c r="AH1" s="36" t="s">
        <v>79</v>
      </c>
      <c r="AI1" s="33"/>
      <c r="AJ1" s="33"/>
    </row>
    <row r="2" spans="1:36" ht="22" customHeight="1" x14ac:dyDescent="0.2">
      <c r="A2" s="3" t="s">
        <v>21</v>
      </c>
      <c r="B2" s="3" t="s">
        <v>80</v>
      </c>
      <c r="C2" s="3" t="s">
        <v>2314</v>
      </c>
      <c r="D2" s="3" t="s">
        <v>2316</v>
      </c>
      <c r="E2" s="3" t="s">
        <v>2318</v>
      </c>
      <c r="F2" s="3" t="s">
        <v>2320</v>
      </c>
      <c r="G2" s="3" t="s">
        <v>2322</v>
      </c>
      <c r="H2" s="3" t="s">
        <v>2324</v>
      </c>
      <c r="I2" s="3" t="s">
        <v>2326</v>
      </c>
      <c r="J2" s="3" t="s">
        <v>2328</v>
      </c>
      <c r="K2" s="3" t="s">
        <v>2330</v>
      </c>
      <c r="L2" s="3" t="s">
        <v>2332</v>
      </c>
      <c r="M2" s="3" t="s">
        <v>2334</v>
      </c>
      <c r="N2" s="3" t="s">
        <v>2336</v>
      </c>
      <c r="O2" s="3" t="s">
        <v>2338</v>
      </c>
      <c r="P2" s="3" t="s">
        <v>2340</v>
      </c>
      <c r="Q2" s="3" t="s">
        <v>2342</v>
      </c>
      <c r="R2" s="3" t="s">
        <v>2344</v>
      </c>
      <c r="S2" s="3" t="s">
        <v>2346</v>
      </c>
      <c r="T2" s="3" t="s">
        <v>2348</v>
      </c>
      <c r="U2" s="3" t="s">
        <v>2350</v>
      </c>
      <c r="V2" s="3" t="s">
        <v>2352</v>
      </c>
      <c r="W2" s="3" t="s">
        <v>2354</v>
      </c>
      <c r="X2" s="3" t="s">
        <v>2356</v>
      </c>
      <c r="Y2" s="3" t="s">
        <v>2358</v>
      </c>
      <c r="Z2" s="3" t="s">
        <v>2360</v>
      </c>
      <c r="AA2" s="3" t="s">
        <v>2362</v>
      </c>
      <c r="AB2" s="3" t="s">
        <v>2364</v>
      </c>
      <c r="AC2" s="3" t="s">
        <v>2366</v>
      </c>
      <c r="AD2" s="3" t="s">
        <v>2368</v>
      </c>
      <c r="AE2" s="3" t="s">
        <v>2370</v>
      </c>
      <c r="AF2" s="3" t="s">
        <v>2372</v>
      </c>
      <c r="AG2" s="3" t="s">
        <v>2374</v>
      </c>
      <c r="AH2" s="3" t="s">
        <v>1311</v>
      </c>
      <c r="AI2" s="3" t="s">
        <v>1313</v>
      </c>
      <c r="AJ2" s="3" t="s">
        <v>55</v>
      </c>
    </row>
    <row r="3" spans="1:36" ht="32" customHeight="1" x14ac:dyDescent="0.2">
      <c r="A3" s="30" t="s">
        <v>86</v>
      </c>
      <c r="B3" s="5"/>
      <c r="C3" s="20" t="s">
        <v>202</v>
      </c>
      <c r="D3" s="6" t="s">
        <v>206</v>
      </c>
      <c r="E3" s="21" t="s">
        <v>2401</v>
      </c>
      <c r="F3" s="21" t="s">
        <v>2402</v>
      </c>
      <c r="G3" s="5" t="s">
        <v>2403</v>
      </c>
      <c r="H3" s="5" t="s">
        <v>2404</v>
      </c>
      <c r="I3" s="21" t="s">
        <v>2387</v>
      </c>
      <c r="J3" s="5" t="s">
        <v>208</v>
      </c>
      <c r="K3" s="5" t="s">
        <v>100</v>
      </c>
      <c r="L3" s="5" t="s">
        <v>172</v>
      </c>
      <c r="M3" s="5" t="s">
        <v>316</v>
      </c>
      <c r="N3" s="8">
        <v>1.5</v>
      </c>
      <c r="O3" s="5" t="s">
        <v>2405</v>
      </c>
      <c r="P3" s="22" t="s">
        <v>94</v>
      </c>
      <c r="Q3" s="21" t="s">
        <v>2406</v>
      </c>
      <c r="R3" s="21" t="s">
        <v>2407</v>
      </c>
      <c r="S3" s="5" t="s">
        <v>2408</v>
      </c>
      <c r="T3" s="5" t="s">
        <v>2409</v>
      </c>
      <c r="U3" s="21" t="s">
        <v>2410</v>
      </c>
      <c r="V3" s="5" t="s">
        <v>2411</v>
      </c>
      <c r="W3" s="5" t="s">
        <v>2412</v>
      </c>
      <c r="X3" s="5" t="s">
        <v>2413</v>
      </c>
      <c r="Y3" s="21" t="s">
        <v>2414</v>
      </c>
      <c r="Z3" s="5" t="s">
        <v>2415</v>
      </c>
      <c r="AA3" s="21" t="s">
        <v>1459</v>
      </c>
      <c r="AB3" s="5" t="s">
        <v>2416</v>
      </c>
      <c r="AC3" s="21" t="s">
        <v>2417</v>
      </c>
      <c r="AD3" s="21" t="s">
        <v>2418</v>
      </c>
      <c r="AE3" s="5" t="s">
        <v>95</v>
      </c>
      <c r="AF3" s="5" t="s">
        <v>2419</v>
      </c>
      <c r="AG3" s="5" t="s">
        <v>2420</v>
      </c>
      <c r="AH3" s="5" t="s">
        <v>2421</v>
      </c>
      <c r="AI3" s="5" t="s">
        <v>2422</v>
      </c>
      <c r="AJ3" s="6" t="s">
        <v>2423</v>
      </c>
    </row>
    <row r="4" spans="1:36" ht="32" customHeight="1" x14ac:dyDescent="0.2">
      <c r="A4" s="4" t="s">
        <v>86</v>
      </c>
      <c r="B4" s="5" t="s">
        <v>87</v>
      </c>
      <c r="C4" s="31" t="s">
        <v>382</v>
      </c>
      <c r="D4" s="6" t="s">
        <v>387</v>
      </c>
      <c r="E4" s="21" t="s">
        <v>2424</v>
      </c>
      <c r="F4" s="21" t="s">
        <v>2425</v>
      </c>
      <c r="G4" s="5" t="s">
        <v>2426</v>
      </c>
      <c r="H4" s="5" t="s">
        <v>2388</v>
      </c>
      <c r="I4" s="21" t="s">
        <v>100</v>
      </c>
      <c r="J4" s="5" t="s">
        <v>208</v>
      </c>
      <c r="K4" s="5" t="s">
        <v>385</v>
      </c>
      <c r="L4" s="5" t="s">
        <v>122</v>
      </c>
      <c r="M4" s="5" t="s">
        <v>2427</v>
      </c>
      <c r="N4" s="8" t="s">
        <v>2428</v>
      </c>
      <c r="O4" s="5" t="s">
        <v>94</v>
      </c>
      <c r="P4" s="22" t="s">
        <v>2429</v>
      </c>
      <c r="Q4" s="21" t="s">
        <v>2430</v>
      </c>
      <c r="R4" s="21" t="s">
        <v>2431</v>
      </c>
      <c r="S4" s="5" t="s">
        <v>2432</v>
      </c>
      <c r="T4" s="5" t="s">
        <v>2433</v>
      </c>
      <c r="U4" s="21" t="s">
        <v>2434</v>
      </c>
      <c r="V4" s="5" t="s">
        <v>503</v>
      </c>
      <c r="W4" s="5" t="s">
        <v>2435</v>
      </c>
      <c r="X4" s="5" t="s">
        <v>2436</v>
      </c>
      <c r="Y4" s="21" t="s">
        <v>2437</v>
      </c>
      <c r="Z4" s="5" t="s">
        <v>2438</v>
      </c>
      <c r="AA4" s="21" t="s">
        <v>2439</v>
      </c>
      <c r="AB4" s="5" t="s">
        <v>2440</v>
      </c>
      <c r="AC4" s="21" t="s">
        <v>2441</v>
      </c>
      <c r="AD4" s="21" t="s">
        <v>2442</v>
      </c>
      <c r="AE4" s="5" t="s">
        <v>2443</v>
      </c>
      <c r="AF4" s="5" t="s">
        <v>2444</v>
      </c>
      <c r="AG4" s="5" t="s">
        <v>2445</v>
      </c>
      <c r="AH4" s="5"/>
      <c r="AI4" s="5"/>
      <c r="AJ4" s="6" t="s">
        <v>2446</v>
      </c>
    </row>
    <row r="5" spans="1:36" ht="32" customHeight="1" x14ac:dyDescent="0.2">
      <c r="A5" s="4" t="s">
        <v>86</v>
      </c>
      <c r="B5" s="5" t="s">
        <v>87</v>
      </c>
      <c r="C5" s="23" t="s">
        <v>533</v>
      </c>
      <c r="D5" s="6" t="s">
        <v>537</v>
      </c>
      <c r="E5" s="21" t="s">
        <v>2447</v>
      </c>
      <c r="F5" s="21" t="s">
        <v>2448</v>
      </c>
      <c r="G5" s="5" t="s">
        <v>2449</v>
      </c>
      <c r="H5" s="5" t="s">
        <v>2389</v>
      </c>
      <c r="I5" s="21" t="s">
        <v>100</v>
      </c>
      <c r="J5" s="5" t="s">
        <v>137</v>
      </c>
      <c r="K5" s="5" t="s">
        <v>232</v>
      </c>
      <c r="L5" s="5" t="s">
        <v>172</v>
      </c>
      <c r="M5" s="5" t="s">
        <v>2427</v>
      </c>
      <c r="N5" s="8" t="s">
        <v>2450</v>
      </c>
      <c r="O5" s="5" t="s">
        <v>94</v>
      </c>
      <c r="P5" s="22" t="s">
        <v>2451</v>
      </c>
      <c r="Q5" s="21" t="s">
        <v>2452</v>
      </c>
      <c r="R5" s="21" t="s">
        <v>2453</v>
      </c>
      <c r="S5" s="5" t="s">
        <v>1456</v>
      </c>
      <c r="T5" s="5" t="s">
        <v>2454</v>
      </c>
      <c r="U5" s="21" t="s">
        <v>2455</v>
      </c>
      <c r="V5" s="5" t="s">
        <v>2456</v>
      </c>
      <c r="W5" s="5" t="s">
        <v>2457</v>
      </c>
      <c r="X5" s="5" t="s">
        <v>2458</v>
      </c>
      <c r="Y5" s="21" t="s">
        <v>2459</v>
      </c>
      <c r="Z5" s="5" t="s">
        <v>2460</v>
      </c>
      <c r="AA5" s="21" t="s">
        <v>2461</v>
      </c>
      <c r="AB5" s="5" t="s">
        <v>2462</v>
      </c>
      <c r="AC5" s="21" t="s">
        <v>2463</v>
      </c>
      <c r="AD5" s="21" t="s">
        <v>2464</v>
      </c>
      <c r="AE5" s="5" t="s">
        <v>2465</v>
      </c>
      <c r="AF5" s="5" t="s">
        <v>2466</v>
      </c>
      <c r="AG5" s="5" t="s">
        <v>2467</v>
      </c>
      <c r="AH5" s="5"/>
      <c r="AI5" s="5"/>
      <c r="AJ5" s="6" t="s">
        <v>2468</v>
      </c>
    </row>
    <row r="6" spans="1:36" ht="32" customHeight="1" x14ac:dyDescent="0.2">
      <c r="A6" s="4" t="s">
        <v>86</v>
      </c>
      <c r="B6" s="5" t="s">
        <v>87</v>
      </c>
      <c r="C6" s="24" t="s">
        <v>631</v>
      </c>
      <c r="D6" s="6" t="s">
        <v>634</v>
      </c>
      <c r="E6" s="21" t="s">
        <v>2469</v>
      </c>
      <c r="F6" s="21" t="s">
        <v>2470</v>
      </c>
      <c r="G6" s="5" t="s">
        <v>2471</v>
      </c>
      <c r="H6" s="5" t="s">
        <v>2390</v>
      </c>
      <c r="I6" s="21" t="s">
        <v>100</v>
      </c>
      <c r="J6" s="5" t="s">
        <v>137</v>
      </c>
      <c r="K6" s="5" t="s">
        <v>122</v>
      </c>
      <c r="L6" s="5" t="s">
        <v>172</v>
      </c>
      <c r="M6" s="5" t="s">
        <v>2427</v>
      </c>
      <c r="N6" s="8" t="s">
        <v>2472</v>
      </c>
      <c r="O6" s="5" t="s">
        <v>94</v>
      </c>
      <c r="P6" s="22" t="s">
        <v>2473</v>
      </c>
      <c r="Q6" s="21" t="s">
        <v>2474</v>
      </c>
      <c r="R6" s="21" t="s">
        <v>2475</v>
      </c>
      <c r="S6" s="5" t="s">
        <v>2476</v>
      </c>
      <c r="T6" s="5" t="s">
        <v>2477</v>
      </c>
      <c r="U6" s="21" t="s">
        <v>2478</v>
      </c>
      <c r="V6" s="5" t="s">
        <v>2479</v>
      </c>
      <c r="W6" s="5" t="s">
        <v>2480</v>
      </c>
      <c r="X6" s="5" t="s">
        <v>2481</v>
      </c>
      <c r="Y6" s="21" t="s">
        <v>2482</v>
      </c>
      <c r="Z6" s="5" t="s">
        <v>2483</v>
      </c>
      <c r="AA6" s="21" t="s">
        <v>2484</v>
      </c>
      <c r="AB6" s="5" t="s">
        <v>2485</v>
      </c>
      <c r="AC6" s="21" t="s">
        <v>2486</v>
      </c>
      <c r="AD6" s="21" t="s">
        <v>2487</v>
      </c>
      <c r="AE6" s="5" t="s">
        <v>2488</v>
      </c>
      <c r="AF6" s="5" t="s">
        <v>2489</v>
      </c>
      <c r="AG6" s="5" t="s">
        <v>2490</v>
      </c>
      <c r="AH6" s="5"/>
      <c r="AI6" s="5"/>
      <c r="AJ6" s="6" t="s">
        <v>2491</v>
      </c>
    </row>
    <row r="7" spans="1:36" ht="32" customHeight="1" x14ac:dyDescent="0.2">
      <c r="A7" s="4" t="s">
        <v>86</v>
      </c>
      <c r="B7" s="5" t="s">
        <v>87</v>
      </c>
      <c r="C7" s="25" t="s">
        <v>829</v>
      </c>
      <c r="D7" s="6" t="s">
        <v>832</v>
      </c>
      <c r="E7" s="21" t="s">
        <v>2492</v>
      </c>
      <c r="F7" s="21" t="s">
        <v>2493</v>
      </c>
      <c r="G7" s="5" t="s">
        <v>2494</v>
      </c>
      <c r="H7" s="5" t="s">
        <v>2391</v>
      </c>
      <c r="I7" s="21" t="s">
        <v>100</v>
      </c>
      <c r="J7" s="5" t="s">
        <v>137</v>
      </c>
      <c r="K7" s="5" t="s">
        <v>172</v>
      </c>
      <c r="L7" s="5" t="s">
        <v>96</v>
      </c>
      <c r="M7" s="5" t="s">
        <v>2427</v>
      </c>
      <c r="N7" s="8" t="s">
        <v>2495</v>
      </c>
      <c r="O7" s="5" t="s">
        <v>94</v>
      </c>
      <c r="P7" s="22" t="s">
        <v>2496</v>
      </c>
      <c r="Q7" s="21" t="s">
        <v>2497</v>
      </c>
      <c r="R7" s="21" t="s">
        <v>2498</v>
      </c>
      <c r="S7" s="5" t="s">
        <v>2499</v>
      </c>
      <c r="T7" s="5" t="s">
        <v>2500</v>
      </c>
      <c r="U7" s="21" t="s">
        <v>2501</v>
      </c>
      <c r="V7" s="5" t="s">
        <v>2502</v>
      </c>
      <c r="W7" s="5" t="s">
        <v>2503</v>
      </c>
      <c r="X7" s="5" t="s">
        <v>2504</v>
      </c>
      <c r="Y7" s="21" t="s">
        <v>2505</v>
      </c>
      <c r="Z7" s="5" t="s">
        <v>2438</v>
      </c>
      <c r="AA7" s="21" t="s">
        <v>2506</v>
      </c>
      <c r="AB7" s="5" t="s">
        <v>2507</v>
      </c>
      <c r="AC7" s="21" t="s">
        <v>2508</v>
      </c>
      <c r="AD7" s="21" t="s">
        <v>2509</v>
      </c>
      <c r="AE7" s="5" t="s">
        <v>2510</v>
      </c>
      <c r="AF7" s="5" t="s">
        <v>2511</v>
      </c>
      <c r="AG7" s="5" t="s">
        <v>2512</v>
      </c>
      <c r="AH7" s="5"/>
      <c r="AI7" s="5"/>
      <c r="AJ7" s="6" t="s">
        <v>2513</v>
      </c>
    </row>
    <row r="8" spans="1:36" ht="32" customHeight="1" x14ac:dyDescent="0.2">
      <c r="A8" s="4" t="s">
        <v>86</v>
      </c>
      <c r="B8" s="5" t="s">
        <v>87</v>
      </c>
      <c r="C8" s="26" t="s">
        <v>929</v>
      </c>
      <c r="D8" s="6" t="s">
        <v>933</v>
      </c>
      <c r="E8" s="21" t="s">
        <v>2514</v>
      </c>
      <c r="F8" s="21" t="s">
        <v>2515</v>
      </c>
      <c r="G8" s="5" t="s">
        <v>2516</v>
      </c>
      <c r="H8" s="5" t="s">
        <v>2392</v>
      </c>
      <c r="I8" s="21" t="s">
        <v>100</v>
      </c>
      <c r="J8" s="5" t="s">
        <v>137</v>
      </c>
      <c r="K8" s="5" t="s">
        <v>931</v>
      </c>
      <c r="L8" s="5" t="s">
        <v>232</v>
      </c>
      <c r="M8" s="5" t="s">
        <v>2517</v>
      </c>
      <c r="N8" s="8" t="s">
        <v>2518</v>
      </c>
      <c r="O8" s="5" t="s">
        <v>94</v>
      </c>
      <c r="P8" s="22" t="s">
        <v>2519</v>
      </c>
      <c r="Q8" s="21" t="s">
        <v>2520</v>
      </c>
      <c r="R8" s="21" t="s">
        <v>2521</v>
      </c>
      <c r="S8" s="5" t="s">
        <v>1456</v>
      </c>
      <c r="T8" s="5" t="s">
        <v>2522</v>
      </c>
      <c r="U8" s="21" t="s">
        <v>2523</v>
      </c>
      <c r="V8" s="5" t="s">
        <v>2524</v>
      </c>
      <c r="W8" s="5" t="s">
        <v>2525</v>
      </c>
      <c r="X8" s="5" t="s">
        <v>2526</v>
      </c>
      <c r="Y8" s="21" t="s">
        <v>2527</v>
      </c>
      <c r="Z8" s="5" t="s">
        <v>2460</v>
      </c>
      <c r="AA8" s="21" t="s">
        <v>2528</v>
      </c>
      <c r="AB8" s="5" t="s">
        <v>2529</v>
      </c>
      <c r="AC8" s="21" t="s">
        <v>2530</v>
      </c>
      <c r="AD8" s="21" t="s">
        <v>2531</v>
      </c>
      <c r="AE8" s="5" t="s">
        <v>2532</v>
      </c>
      <c r="AF8" s="5" t="s">
        <v>2533</v>
      </c>
      <c r="AG8" s="5" t="s">
        <v>2534</v>
      </c>
      <c r="AH8" s="5"/>
      <c r="AI8" s="5"/>
      <c r="AJ8" s="6" t="s">
        <v>2535</v>
      </c>
    </row>
    <row r="9" spans="1:36" ht="32" customHeight="1" x14ac:dyDescent="0.2">
      <c r="A9" s="4" t="s">
        <v>86</v>
      </c>
      <c r="B9" s="5" t="s">
        <v>87</v>
      </c>
      <c r="C9" s="27" t="s">
        <v>2536</v>
      </c>
      <c r="D9" s="6" t="s">
        <v>1066</v>
      </c>
      <c r="E9" s="21" t="s">
        <v>2537</v>
      </c>
      <c r="F9" s="21" t="s">
        <v>2538</v>
      </c>
      <c r="G9" s="5" t="s">
        <v>2539</v>
      </c>
      <c r="H9" s="5" t="s">
        <v>2393</v>
      </c>
      <c r="I9" s="21" t="s">
        <v>100</v>
      </c>
      <c r="J9" s="5" t="s">
        <v>137</v>
      </c>
      <c r="K9" s="5" t="s">
        <v>232</v>
      </c>
      <c r="L9" s="5" t="s">
        <v>96</v>
      </c>
      <c r="M9" s="5" t="s">
        <v>2540</v>
      </c>
      <c r="N9" s="8" t="s">
        <v>2541</v>
      </c>
      <c r="O9" s="5" t="s">
        <v>94</v>
      </c>
      <c r="P9" s="22" t="s">
        <v>126</v>
      </c>
      <c r="Q9" s="21" t="s">
        <v>2542</v>
      </c>
      <c r="R9" s="21" t="s">
        <v>2543</v>
      </c>
      <c r="S9" s="5" t="s">
        <v>2544</v>
      </c>
      <c r="T9" s="5" t="s">
        <v>2545</v>
      </c>
      <c r="U9" s="21" t="s">
        <v>2546</v>
      </c>
      <c r="V9" s="5" t="s">
        <v>2547</v>
      </c>
      <c r="W9" s="5" t="s">
        <v>2548</v>
      </c>
      <c r="X9" s="5" t="s">
        <v>2549</v>
      </c>
      <c r="Y9" s="21" t="s">
        <v>2550</v>
      </c>
      <c r="Z9" s="5" t="s">
        <v>2438</v>
      </c>
      <c r="AA9" s="21" t="s">
        <v>2551</v>
      </c>
      <c r="AB9" s="5" t="s">
        <v>2552</v>
      </c>
      <c r="AC9" s="21" t="s">
        <v>2553</v>
      </c>
      <c r="AD9" s="21" t="s">
        <v>2554</v>
      </c>
      <c r="AE9" s="5" t="s">
        <v>2555</v>
      </c>
      <c r="AF9" s="5" t="s">
        <v>2556</v>
      </c>
      <c r="AG9" s="5" t="s">
        <v>2557</v>
      </c>
      <c r="AH9" s="5"/>
      <c r="AI9" s="5"/>
      <c r="AJ9" s="6" t="s">
        <v>2558</v>
      </c>
    </row>
    <row r="10" spans="1:36" ht="32" customHeight="1" x14ac:dyDescent="0.2">
      <c r="A10" s="4" t="s">
        <v>86</v>
      </c>
      <c r="B10" s="5" t="s">
        <v>87</v>
      </c>
      <c r="C10" s="28" t="s">
        <v>1146</v>
      </c>
      <c r="D10" s="6" t="s">
        <v>1150</v>
      </c>
      <c r="E10" s="21" t="s">
        <v>1430</v>
      </c>
      <c r="F10" s="21" t="s">
        <v>2559</v>
      </c>
      <c r="G10" s="5" t="s">
        <v>2560</v>
      </c>
      <c r="H10" s="5" t="s">
        <v>1145</v>
      </c>
      <c r="I10" s="21" t="s">
        <v>1152</v>
      </c>
      <c r="J10" s="5" t="s">
        <v>100</v>
      </c>
      <c r="K10" s="5" t="s">
        <v>109</v>
      </c>
      <c r="L10" s="5" t="s">
        <v>96</v>
      </c>
      <c r="M10" s="5" t="s">
        <v>2427</v>
      </c>
      <c r="N10" s="8" t="s">
        <v>2561</v>
      </c>
      <c r="O10" s="5" t="s">
        <v>94</v>
      </c>
      <c r="P10" s="22" t="s">
        <v>1456</v>
      </c>
      <c r="Q10" s="21" t="s">
        <v>2562</v>
      </c>
      <c r="R10" s="21" t="s">
        <v>2563</v>
      </c>
      <c r="S10" s="5" t="s">
        <v>2564</v>
      </c>
      <c r="T10" s="5" t="s">
        <v>2565</v>
      </c>
      <c r="U10" s="21" t="s">
        <v>2566</v>
      </c>
      <c r="V10" s="5" t="s">
        <v>2567</v>
      </c>
      <c r="W10" s="5" t="s">
        <v>2568</v>
      </c>
      <c r="X10" s="5" t="s">
        <v>2569</v>
      </c>
      <c r="Y10" s="21" t="s">
        <v>2570</v>
      </c>
      <c r="Z10" s="5" t="s">
        <v>2483</v>
      </c>
      <c r="AA10" s="21" t="s">
        <v>2571</v>
      </c>
      <c r="AB10" s="5" t="s">
        <v>2572</v>
      </c>
      <c r="AC10" s="21" t="s">
        <v>2573</v>
      </c>
      <c r="AD10" s="21" t="s">
        <v>2574</v>
      </c>
      <c r="AE10" s="5" t="s">
        <v>2575</v>
      </c>
      <c r="AF10" s="5" t="s">
        <v>2576</v>
      </c>
      <c r="AG10" s="5" t="s">
        <v>2577</v>
      </c>
      <c r="AH10" s="5"/>
      <c r="AI10" s="5"/>
      <c r="AJ10" s="6" t="s">
        <v>2578</v>
      </c>
    </row>
    <row r="11" spans="1:36" ht="32" customHeight="1" x14ac:dyDescent="0.2">
      <c r="A11" s="4" t="s">
        <v>86</v>
      </c>
      <c r="B11" s="5" t="s">
        <v>87</v>
      </c>
      <c r="C11" s="29" t="s">
        <v>90</v>
      </c>
      <c r="D11" s="6" t="s">
        <v>98</v>
      </c>
      <c r="E11" s="21" t="s">
        <v>2579</v>
      </c>
      <c r="F11" s="21" t="s">
        <v>2580</v>
      </c>
      <c r="G11" s="5" t="s">
        <v>2581</v>
      </c>
      <c r="H11" s="5" t="s">
        <v>2394</v>
      </c>
      <c r="I11" s="21" t="s">
        <v>100</v>
      </c>
      <c r="J11" s="5" t="s">
        <v>137</v>
      </c>
      <c r="K11" s="5" t="s">
        <v>96</v>
      </c>
      <c r="L11" s="5" t="s">
        <v>122</v>
      </c>
      <c r="M11" s="5" t="s">
        <v>2427</v>
      </c>
      <c r="N11" s="8" t="s">
        <v>2582</v>
      </c>
      <c r="O11" s="5" t="s">
        <v>94</v>
      </c>
      <c r="P11" s="22" t="s">
        <v>2583</v>
      </c>
      <c r="Q11" s="21" t="s">
        <v>2584</v>
      </c>
      <c r="R11" s="21" t="s">
        <v>2585</v>
      </c>
      <c r="S11" s="5" t="s">
        <v>2586</v>
      </c>
      <c r="T11" s="5" t="s">
        <v>2587</v>
      </c>
      <c r="U11" s="21" t="s">
        <v>2588</v>
      </c>
      <c r="V11" s="5" t="s">
        <v>2589</v>
      </c>
      <c r="W11" s="5" t="s">
        <v>2590</v>
      </c>
      <c r="X11" s="5" t="s">
        <v>2526</v>
      </c>
      <c r="Y11" s="21" t="s">
        <v>2591</v>
      </c>
      <c r="Z11" s="5" t="s">
        <v>2460</v>
      </c>
      <c r="AA11" s="21" t="s">
        <v>2592</v>
      </c>
      <c r="AB11" s="5" t="s">
        <v>2593</v>
      </c>
      <c r="AC11" s="21" t="s">
        <v>2594</v>
      </c>
      <c r="AD11" s="21" t="s">
        <v>2595</v>
      </c>
      <c r="AE11" s="5" t="s">
        <v>2596</v>
      </c>
      <c r="AF11" s="5" t="s">
        <v>2597</v>
      </c>
      <c r="AG11" s="5" t="s">
        <v>2598</v>
      </c>
      <c r="AH11" s="5"/>
      <c r="AI11" s="5"/>
      <c r="AJ11" s="6" t="s">
        <v>2599</v>
      </c>
    </row>
  </sheetData>
  <mergeCells count="8">
    <mergeCell ref="A1:D1"/>
    <mergeCell ref="U1:X1"/>
    <mergeCell ref="AH1:AJ1"/>
    <mergeCell ref="L1:T1"/>
    <mergeCell ref="AC1:AG1"/>
    <mergeCell ref="E1:I1"/>
    <mergeCell ref="J1:K1"/>
    <mergeCell ref="Y1:AB1"/>
  </mergeCells>
  <dataValidations count="6">
    <dataValidation type="list" sqref="A3:A11" xr:uid="{00000000-0002-0000-0700-000000000000}">
      <formula1>"STUB,PARTIAL,COMPLETE"</formula1>
    </dataValidation>
    <dataValidation type="list" allowBlank="1" sqref="J3:K11" xr:uid="{00000000-0002-0000-0700-000001000000}">
      <formula1>"faith_of_the_seven,old_gods,drowned_god,rhlor,many_faced_god,mixed,unknown"</formula1>
    </dataValidation>
    <dataValidation type="list" allowBlank="1" sqref="L3:M11" xr:uid="{00000000-0002-0000-0700-000002000000}">
      <formula1>"plains,forest,mountains,coast,island,river,swamp,desert,tundra"</formula1>
    </dataValidation>
    <dataValidation type="list" sqref="P3:P11" xr:uid="{00000000-0002-0000-0700-000003000000}">
      <formula1>"YES,NO"</formula1>
    </dataValidation>
    <dataValidation type="list" allowBlank="1" sqref="AG3:AG11" xr:uid="{00000000-0002-0000-0700-000004000000}">
      <formula1>"strong,moderate,weak,none"</formula1>
    </dataValidation>
    <dataValidation type="list" allowBlank="1" sqref="AA3:AA11" xr:uid="{00000000-0002-0000-0700-000005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 Instructions</vt:lpstr>
      <vt:lpstr>🏰 Castle Data</vt:lpstr>
      <vt:lpstr>📊 Progress</vt:lpstr>
      <vt:lpstr>📋 House Instructions</vt:lpstr>
      <vt:lpstr>🏠 House Data</vt:lpstr>
      <vt:lpstr>📊 House Progress</vt:lpstr>
      <vt:lpstr>📋 Region Instructions</vt:lpstr>
      <vt:lpstr>🗺️ Region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Blake Taylor</cp:lastModifiedBy>
  <dcterms:created xsi:type="dcterms:W3CDTF">2026-05-14T14:20:33Z</dcterms:created>
  <dcterms:modified xsi:type="dcterms:W3CDTF">2026-05-14T15:31:41Z</dcterms:modified>
</cp:coreProperties>
</file>